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ne\Desktop\GnA Construction development\web app info\"/>
    </mc:Choice>
  </mc:AlternateContent>
  <xr:revisionPtr revIDLastSave="0" documentId="13_ncr:1_{D66E7858-4B77-43FC-8512-2B1B56964F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uote" sheetId="1" r:id="rId1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" l="1"/>
  <c r="J5" i="1"/>
  <c r="J18" i="1"/>
  <c r="J23" i="1"/>
  <c r="J22" i="1"/>
  <c r="J21" i="1"/>
  <c r="J20" i="1"/>
  <c r="J6" i="1"/>
  <c r="J34" i="1"/>
  <c r="J32" i="1"/>
  <c r="J31" i="1"/>
  <c r="J30" i="1"/>
  <c r="J29" i="1"/>
  <c r="J28" i="1"/>
  <c r="J27" i="1"/>
  <c r="J26" i="1"/>
  <c r="J25" i="1"/>
  <c r="J24" i="1"/>
  <c r="J19" i="1"/>
  <c r="J36" i="1" l="1"/>
  <c r="J35" i="1"/>
  <c r="J37" i="1" s="1"/>
</calcChain>
</file>

<file path=xl/sharedStrings.xml><?xml version="1.0" encoding="utf-8"?>
<sst xmlns="http://schemas.openxmlformats.org/spreadsheetml/2006/main" count="58" uniqueCount="57">
  <si>
    <t>Quotation</t>
  </si>
  <si>
    <t>Date:</t>
  </si>
  <si>
    <t>Valid Until</t>
  </si>
  <si>
    <t xml:space="preserve">VAT No: </t>
  </si>
  <si>
    <t>Quote Number:</t>
  </si>
  <si>
    <t>Reference:</t>
  </si>
  <si>
    <t>Customer:</t>
  </si>
  <si>
    <t>Description</t>
  </si>
  <si>
    <t>[Street Address]</t>
  </si>
  <si>
    <t>[Phone]</t>
  </si>
  <si>
    <t>[VAT]</t>
  </si>
  <si>
    <t>Item</t>
  </si>
  <si>
    <t>Qty</t>
  </si>
  <si>
    <t>Unit Price</t>
  </si>
  <si>
    <t>Discount %</t>
  </si>
  <si>
    <t>VAT Rate</t>
  </si>
  <si>
    <t>Line Total</t>
  </si>
  <si>
    <t>Subtotal excl. VAT</t>
  </si>
  <si>
    <t>Special Notes and Instructions</t>
  </si>
  <si>
    <t xml:space="preserve">Tax/VAT </t>
  </si>
  <si>
    <t>T'S &amp; C'S</t>
  </si>
  <si>
    <t>Total</t>
  </si>
  <si>
    <t>Above information is not an invoice and only an estimate of services/goods described above.</t>
  </si>
  <si>
    <t>Payment will be collected in prior to provision of services/goods described in this quote.</t>
  </si>
  <si>
    <t>Please confirm your acceptance of this quote by signing this document</t>
  </si>
  <si>
    <t>Signature</t>
  </si>
  <si>
    <t>Print Name</t>
  </si>
  <si>
    <t>Date</t>
  </si>
  <si>
    <t>Thank you for your business!</t>
  </si>
  <si>
    <t>Email:</t>
  </si>
  <si>
    <t>Telephone:</t>
  </si>
  <si>
    <t>Address:</t>
  </si>
  <si>
    <t>If you have any questions concerning this quote, contact us</t>
  </si>
  <si>
    <t>Once you accept the quote bank details will be provided</t>
  </si>
  <si>
    <t>Labour for contract</t>
  </si>
  <si>
    <t>House construction</t>
  </si>
  <si>
    <t>Customer ???</t>
  </si>
  <si>
    <t xml:space="preserve">Ground and First floor building structural </t>
  </si>
  <si>
    <t>Preparation of concrete slabs and foundation</t>
  </si>
  <si>
    <t xml:space="preserve">Stairs </t>
  </si>
  <si>
    <t xml:space="preserve">Roofing and rainwater goods </t>
  </si>
  <si>
    <t xml:space="preserve">Plastering and screed </t>
  </si>
  <si>
    <t>Reg no:</t>
  </si>
  <si>
    <t>Electricity and solar system complete</t>
  </si>
  <si>
    <t xml:space="preserve">Plumbing and all accessories </t>
  </si>
  <si>
    <t xml:space="preserve">Ceiling </t>
  </si>
  <si>
    <t xml:space="preserve">Painting </t>
  </si>
  <si>
    <t xml:space="preserve">Tiling </t>
  </si>
  <si>
    <t xml:space="preserve">Doors and windows </t>
  </si>
  <si>
    <t>Exavation and removal to dump site</t>
  </si>
  <si>
    <t>Your Construction name</t>
  </si>
  <si>
    <t>Your full company address</t>
  </si>
  <si>
    <t>your phone number</t>
  </si>
  <si>
    <t>your email address</t>
  </si>
  <si>
    <t>your vat number</t>
  </si>
  <si>
    <t>your reg number</t>
  </si>
  <si>
    <t>??????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</si>
</sst>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[$R]#,##0.00"/>
  </numFmts>
  <fonts count="16" x14ac:knownFonts="1">
    <font>
      <sz val="10"/>
      <color rgb="FF000000"/>
      <name val="Arial"/>
    </font>
    <font>
      <b/>
      <sz val="24"/>
      <color rgb="FFFFFFFF"/>
      <name val="Arial"/>
    </font>
    <font>
      <b/>
      <sz val="12"/>
      <color rgb="FF000000"/>
      <name val="Arial"/>
    </font>
    <font>
      <b/>
      <sz val="24"/>
      <color rgb="FF004269"/>
      <name val="Arial"/>
    </font>
    <font>
      <sz val="10"/>
      <name val="Arial"/>
    </font>
    <font>
      <b/>
      <sz val="8"/>
      <color rgb="FF000000"/>
      <name val="Arial"/>
    </font>
    <font>
      <sz val="10"/>
      <color rgb="FF000000"/>
      <name val="Roboto"/>
    </font>
    <font>
      <sz val="8"/>
      <color rgb="FF000000"/>
      <name val="Arial"/>
    </font>
    <font>
      <sz val="10"/>
      <color rgb="FF000000"/>
      <name val="Arial"/>
    </font>
    <font>
      <sz val="8"/>
      <color rgb="FF004269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0"/>
      <color rgb="FF000000"/>
      <name val="Arial"/>
    </font>
    <font>
      <sz val="8"/>
      <color rgb="FFB2B2B2"/>
      <name val="Arial"/>
    </font>
    <font>
      <u/>
      <sz val="10"/>
      <color theme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E6E6E6"/>
        <bgColor rgb="FFE6E6E6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96">
    <xf numFmtId="0" fontId="0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/>
    <xf numFmtId="0" fontId="4" fillId="0" borderId="0" xfId="0" applyFont="1" applyAlignment="1">
      <alignment wrapText="1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wrapText="1"/>
    </xf>
    <xf numFmtId="0" fontId="7" fillId="2" borderId="0" xfId="0" applyFont="1" applyFill="1" applyAlignment="1">
      <alignment horizontal="left"/>
    </xf>
    <xf numFmtId="164" fontId="7" fillId="2" borderId="1" xfId="0" applyNumberFormat="1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8" fillId="2" borderId="3" xfId="0" applyFont="1" applyFill="1" applyBorder="1" applyAlignment="1"/>
    <xf numFmtId="0" fontId="7" fillId="2" borderId="2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9" fillId="2" borderId="0" xfId="0" applyFont="1" applyFill="1" applyAlignment="1"/>
    <xf numFmtId="0" fontId="8" fillId="2" borderId="1" xfId="0" applyFont="1" applyFill="1" applyBorder="1" applyAlignment="1"/>
    <xf numFmtId="0" fontId="8" fillId="2" borderId="5" xfId="0" applyFont="1" applyFill="1" applyBorder="1" applyAlignment="1"/>
    <xf numFmtId="0" fontId="8" fillId="2" borderId="2" xfId="0" applyFont="1" applyFill="1" applyBorder="1" applyAlignment="1"/>
    <xf numFmtId="0" fontId="11" fillId="3" borderId="13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left"/>
    </xf>
    <xf numFmtId="0" fontId="11" fillId="3" borderId="4" xfId="0" applyFont="1" applyFill="1" applyBorder="1" applyAlignment="1">
      <alignment horizontal="center" vertical="center"/>
    </xf>
    <xf numFmtId="2" fontId="7" fillId="2" borderId="14" xfId="0" applyNumberFormat="1" applyFont="1" applyFill="1" applyBorder="1" applyAlignment="1">
      <alignment horizontal="center" vertical="center"/>
    </xf>
    <xf numFmtId="2" fontId="7" fillId="2" borderId="0" xfId="0" applyNumberFormat="1" applyFont="1" applyFill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2" fontId="7" fillId="2" borderId="13" xfId="0" applyNumberFormat="1" applyFont="1" applyFill="1" applyBorder="1" applyAlignment="1">
      <alignment horizontal="center" vertical="center"/>
    </xf>
    <xf numFmtId="2" fontId="7" fillId="2" borderId="7" xfId="0" applyNumberFormat="1" applyFont="1" applyFill="1" applyBorder="1" applyAlignment="1">
      <alignment horizontal="center" vertical="center"/>
    </xf>
    <xf numFmtId="9" fontId="7" fillId="2" borderId="6" xfId="0" applyNumberFormat="1" applyFont="1" applyFill="1" applyBorder="1" applyAlignment="1">
      <alignment horizontal="center" vertical="center"/>
    </xf>
    <xf numFmtId="165" fontId="7" fillId="2" borderId="6" xfId="0" applyNumberFormat="1" applyFont="1" applyFill="1" applyBorder="1" applyAlignment="1">
      <alignment horizontal="center" vertical="center"/>
    </xf>
    <xf numFmtId="2" fontId="7" fillId="4" borderId="14" xfId="0" applyNumberFormat="1" applyFont="1" applyFill="1" applyBorder="1" applyAlignment="1">
      <alignment horizontal="center" vertical="center"/>
    </xf>
    <xf numFmtId="2" fontId="7" fillId="4" borderId="0" xfId="0" applyNumberFormat="1" applyFont="1" applyFill="1" applyAlignment="1">
      <alignment horizontal="center" vertical="center"/>
    </xf>
    <xf numFmtId="2" fontId="7" fillId="4" borderId="3" xfId="0" applyNumberFormat="1" applyFont="1" applyFill="1" applyBorder="1" applyAlignment="1">
      <alignment horizontal="center" vertical="center"/>
    </xf>
    <xf numFmtId="2" fontId="7" fillId="4" borderId="14" xfId="0" applyNumberFormat="1" applyFont="1" applyFill="1" applyBorder="1" applyAlignment="1">
      <alignment horizontal="center" vertical="center"/>
    </xf>
    <xf numFmtId="2" fontId="7" fillId="4" borderId="0" xfId="0" applyNumberFormat="1" applyFont="1" applyFill="1" applyAlignment="1">
      <alignment horizontal="center" vertical="center"/>
    </xf>
    <xf numFmtId="9" fontId="7" fillId="4" borderId="3" xfId="0" applyNumberFormat="1" applyFont="1" applyFill="1" applyBorder="1" applyAlignment="1">
      <alignment horizontal="center" vertical="center"/>
    </xf>
    <xf numFmtId="165" fontId="7" fillId="4" borderId="3" xfId="0" applyNumberFormat="1" applyFont="1" applyFill="1" applyBorder="1" applyAlignment="1">
      <alignment horizontal="center" vertical="center"/>
    </xf>
    <xf numFmtId="2" fontId="7" fillId="2" borderId="14" xfId="0" applyNumberFormat="1" applyFont="1" applyFill="1" applyBorder="1" applyAlignment="1">
      <alignment horizontal="center" vertical="center"/>
    </xf>
    <xf numFmtId="2" fontId="7" fillId="2" borderId="3" xfId="0" applyNumberFormat="1" applyFont="1" applyFill="1" applyBorder="1" applyAlignment="1">
      <alignment horizontal="center" vertical="center"/>
    </xf>
    <xf numFmtId="165" fontId="7" fillId="2" borderId="3" xfId="0" applyNumberFormat="1" applyFont="1" applyFill="1" applyBorder="1" applyAlignment="1">
      <alignment horizontal="center" vertical="center"/>
    </xf>
    <xf numFmtId="2" fontId="7" fillId="4" borderId="3" xfId="0" applyNumberFormat="1" applyFont="1" applyFill="1" applyBorder="1" applyAlignment="1">
      <alignment horizontal="center" vertical="center"/>
    </xf>
    <xf numFmtId="2" fontId="7" fillId="2" borderId="15" xfId="0" applyNumberFormat="1" applyFont="1" applyFill="1" applyBorder="1" applyAlignment="1">
      <alignment horizontal="center" vertical="center"/>
    </xf>
    <xf numFmtId="2" fontId="7" fillId="2" borderId="11" xfId="0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165" fontId="7" fillId="2" borderId="11" xfId="0" applyNumberFormat="1" applyFont="1" applyFill="1" applyBorder="1" applyAlignment="1">
      <alignment horizontal="center" vertical="center"/>
    </xf>
    <xf numFmtId="2" fontId="9" fillId="2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left" vertical="center"/>
    </xf>
    <xf numFmtId="165" fontId="12" fillId="2" borderId="4" xfId="0" applyNumberFormat="1" applyFont="1" applyFill="1" applyBorder="1" applyAlignment="1">
      <alignment horizontal="right" vertical="center"/>
    </xf>
    <xf numFmtId="0" fontId="10" fillId="0" borderId="3" xfId="0" applyFont="1" applyBorder="1" applyAlignment="1"/>
    <xf numFmtId="0" fontId="12" fillId="2" borderId="9" xfId="0" applyFont="1" applyFill="1" applyBorder="1" applyAlignment="1">
      <alignment horizontal="left" vertical="center"/>
    </xf>
    <xf numFmtId="165" fontId="7" fillId="2" borderId="9" xfId="0" applyNumberFormat="1" applyFont="1" applyFill="1" applyBorder="1" applyAlignment="1">
      <alignment vertical="center"/>
    </xf>
    <xf numFmtId="0" fontId="7" fillId="0" borderId="3" xfId="0" applyFont="1" applyBorder="1" applyAlignment="1"/>
    <xf numFmtId="0" fontId="13" fillId="2" borderId="4" xfId="0" applyFont="1" applyFill="1" applyBorder="1" applyAlignment="1">
      <alignment horizontal="left"/>
    </xf>
    <xf numFmtId="165" fontId="10" fillId="3" borderId="4" xfId="0" applyNumberFormat="1" applyFont="1" applyFill="1" applyBorder="1" applyAlignment="1">
      <alignment vertical="center"/>
    </xf>
    <xf numFmtId="0" fontId="4" fillId="0" borderId="3" xfId="0" applyFont="1" applyBorder="1" applyAlignment="1">
      <alignment wrapText="1"/>
    </xf>
    <xf numFmtId="0" fontId="8" fillId="2" borderId="0" xfId="0" applyFont="1" applyFill="1" applyAlignment="1"/>
    <xf numFmtId="0" fontId="9" fillId="2" borderId="7" xfId="0" applyFont="1" applyFill="1" applyBorder="1" applyAlignment="1"/>
    <xf numFmtId="0" fontId="9" fillId="2" borderId="7" xfId="0" applyFont="1" applyFill="1" applyBorder="1" applyAlignment="1">
      <alignment horizontal="left"/>
    </xf>
    <xf numFmtId="0" fontId="8" fillId="2" borderId="7" xfId="0" applyFont="1" applyFill="1" applyBorder="1" applyAlignment="1"/>
    <xf numFmtId="0" fontId="7" fillId="2" borderId="0" xfId="0" applyFont="1" applyFill="1" applyAlignment="1"/>
    <xf numFmtId="0" fontId="7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15" fillId="2" borderId="0" xfId="1" applyFill="1" applyAlignment="1">
      <alignment wrapText="1"/>
    </xf>
    <xf numFmtId="3" fontId="0" fillId="0" borderId="0" xfId="0" applyNumberFormat="1" applyFont="1" applyAlignment="1">
      <alignment wrapText="1"/>
    </xf>
    <xf numFmtId="2" fontId="7" fillId="2" borderId="0" xfId="0" applyNumberFormat="1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8" fillId="2" borderId="7" xfId="0" applyFont="1" applyFill="1" applyBorder="1" applyAlignment="1">
      <alignment horizontal="center"/>
    </xf>
    <xf numFmtId="0" fontId="4" fillId="0" borderId="7" xfId="0" applyFont="1" applyBorder="1" applyAlignment="1">
      <alignment wrapText="1"/>
    </xf>
    <xf numFmtId="0" fontId="10" fillId="3" borderId="9" xfId="0" applyFont="1" applyFill="1" applyBorder="1" applyAlignment="1"/>
    <xf numFmtId="0" fontId="4" fillId="0" borderId="5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7" fillId="2" borderId="6" xfId="0" applyFont="1" applyFill="1" applyBorder="1" applyAlignment="1"/>
    <xf numFmtId="0" fontId="4" fillId="0" borderId="8" xfId="0" applyFont="1" applyBorder="1" applyAlignment="1">
      <alignment wrapText="1"/>
    </xf>
    <xf numFmtId="0" fontId="7" fillId="2" borderId="3" xfId="0" applyFont="1" applyFill="1" applyBorder="1" applyAlignment="1"/>
    <xf numFmtId="0" fontId="4" fillId="0" borderId="2" xfId="0" applyFont="1" applyBorder="1" applyAlignment="1">
      <alignment wrapText="1"/>
    </xf>
    <xf numFmtId="0" fontId="8" fillId="2" borderId="0" xfId="0" applyFont="1" applyFill="1" applyAlignment="1">
      <alignment horizontal="center"/>
    </xf>
    <xf numFmtId="2" fontId="7" fillId="4" borderId="0" xfId="0" applyNumberFormat="1" applyFont="1" applyFill="1" applyAlignment="1">
      <alignment horizontal="center" vertical="center"/>
    </xf>
    <xf numFmtId="0" fontId="8" fillId="2" borderId="6" xfId="0" applyFont="1" applyFill="1" applyBorder="1" applyAlignment="1"/>
    <xf numFmtId="0" fontId="7" fillId="2" borderId="3" xfId="0" applyFont="1" applyFill="1" applyBorder="1" applyAlignment="1">
      <alignment horizontal="left"/>
    </xf>
    <xf numFmtId="0" fontId="8" fillId="2" borderId="3" xfId="0" applyFont="1" applyFill="1" applyBorder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/>
    </xf>
    <xf numFmtId="0" fontId="10" fillId="3" borderId="6" xfId="0" applyFont="1" applyFill="1" applyBorder="1" applyAlignment="1">
      <alignment horizontal="left"/>
    </xf>
    <xf numFmtId="0" fontId="8" fillId="2" borderId="11" xfId="0" applyFont="1" applyFill="1" applyBorder="1" applyAlignment="1"/>
    <xf numFmtId="0" fontId="4" fillId="0" borderId="12" xfId="0" applyFont="1" applyBorder="1" applyAlignment="1">
      <alignment wrapText="1"/>
    </xf>
    <xf numFmtId="0" fontId="14" fillId="2" borderId="1" xfId="0" applyFont="1" applyFill="1" applyBorder="1" applyAlignment="1"/>
    <xf numFmtId="0" fontId="14" fillId="2" borderId="5" xfId="0" applyFont="1" applyFill="1" applyBorder="1" applyAlignment="1"/>
    <xf numFmtId="0" fontId="7" fillId="2" borderId="11" xfId="0" applyFont="1" applyFill="1" applyBorder="1" applyAlignment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7" fillId="2" borderId="11" xfId="0" applyFont="1" applyFill="1" applyBorder="1" applyAlignment="1">
      <alignment horizontal="left"/>
    </xf>
    <xf numFmtId="0" fontId="11" fillId="3" borderId="6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754785</xdr:colOff>
      <xdr:row>0</xdr:row>
      <xdr:rowOff>195835</xdr:rowOff>
    </xdr:from>
    <xdr:to>
      <xdr:col>2</xdr:col>
      <xdr:colOff>289789</xdr:colOff>
      <xdr:row>2</xdr:row>
      <xdr:rowOff>0</xdr:rowOff>
    </xdr:to>
    <xdr:pic>
      <xdr:nvPicPr>
        <xdr:cNvPr id="3" name="Picture 2" descr="Silhouette of a construction site">
          <a:extLst>
            <a:ext uri="{FF2B5EF4-FFF2-40B4-BE49-F238E27FC236}">
              <a16:creationId xmlns:a16="http://schemas.microsoft.com/office/drawing/2014/main" id="{C95A3420-C4EA-3ADE-0A0D-35E44890E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02485" y="195835"/>
          <a:ext cx="849454" cy="566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steadfastconstruction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7"/>
  <sheetViews>
    <sheetView showGridLines="0" tabSelected="1" topLeftCell="A7" workbookViewId="0">
      <selection activeCell="N27" sqref="N27"/>
    </sheetView>
  </sheetViews>
  <sheetFormatPr defaultColWidth="12.5703125" defaultRowHeight="12.75" customHeight="1" x14ac:dyDescent="0.2"/>
  <cols>
    <col min="1" max="1" width="9.7109375" customWidth="1"/>
    <col min="2" max="2" width="19.7109375" customWidth="1"/>
    <col min="3" max="3" width="8.140625" customWidth="1"/>
    <col min="4" max="4" width="8" customWidth="1"/>
    <col min="5" max="5" width="0.140625" customWidth="1"/>
    <col min="6" max="6" width="6.5703125" customWidth="1"/>
    <col min="7" max="7" width="8.140625" customWidth="1"/>
    <col min="8" max="8" width="2.5703125" hidden="1" customWidth="1"/>
    <col min="9" max="9" width="9.7109375" customWidth="1"/>
    <col min="10" max="10" width="15.85546875" customWidth="1"/>
    <col min="11" max="11" width="8.140625" customWidth="1"/>
  </cols>
  <sheetData>
    <row r="1" spans="1:11" ht="30" customHeight="1" x14ac:dyDescent="0.4">
      <c r="A1" s="1"/>
      <c r="B1" s="1"/>
      <c r="C1" s="1"/>
      <c r="D1" s="1"/>
      <c r="E1" s="1"/>
      <c r="F1" s="1"/>
      <c r="G1" s="1"/>
      <c r="H1" s="83"/>
      <c r="I1" s="65"/>
      <c r="J1" s="65"/>
      <c r="K1" s="1"/>
    </row>
    <row r="2" spans="1:11" ht="30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30" customHeight="1" x14ac:dyDescent="0.4">
      <c r="A3" s="84" t="s">
        <v>50</v>
      </c>
      <c r="B3" s="65"/>
      <c r="C3" s="65"/>
      <c r="D3" s="65"/>
      <c r="E3" s="65"/>
      <c r="F3" s="2"/>
      <c r="G3" s="2"/>
      <c r="H3" s="2"/>
      <c r="I3" s="85" t="s">
        <v>0</v>
      </c>
      <c r="J3" s="65"/>
    </row>
    <row r="4" spans="1:11" ht="25.5" x14ac:dyDescent="0.2">
      <c r="A4" s="3" t="s">
        <v>31</v>
      </c>
      <c r="B4" t="s">
        <v>51</v>
      </c>
    </row>
    <row r="5" spans="1:11" ht="25.5" x14ac:dyDescent="0.2">
      <c r="A5" s="5" t="s">
        <v>30</v>
      </c>
      <c r="B5" s="63" t="s">
        <v>52</v>
      </c>
      <c r="I5" s="6" t="s">
        <v>1</v>
      </c>
      <c r="J5" s="7">
        <f ca="1">TODAY()</f>
        <v>46082</v>
      </c>
    </row>
    <row r="6" spans="1:11" ht="24" customHeight="1" x14ac:dyDescent="0.2">
      <c r="A6" s="4" t="s">
        <v>29</v>
      </c>
      <c r="B6" s="62" t="s">
        <v>53</v>
      </c>
      <c r="C6" s="6"/>
      <c r="D6" s="6"/>
      <c r="E6" s="6"/>
      <c r="I6" s="8" t="s">
        <v>2</v>
      </c>
      <c r="J6" s="7">
        <f ca="1">TODAY()+7</f>
        <v>46089</v>
      </c>
      <c r="K6" s="9"/>
    </row>
    <row r="7" spans="1:11" x14ac:dyDescent="0.2">
      <c r="A7" s="4" t="s">
        <v>3</v>
      </c>
      <c r="B7" s="5" t="s">
        <v>54</v>
      </c>
      <c r="C7" s="6"/>
      <c r="D7" s="6"/>
      <c r="E7" s="6"/>
      <c r="I7" s="10" t="s">
        <v>4</v>
      </c>
      <c r="J7" s="11"/>
      <c r="K7" s="9"/>
    </row>
    <row r="8" spans="1:11" x14ac:dyDescent="0.2">
      <c r="A8" s="4" t="s">
        <v>42</v>
      </c>
      <c r="B8" s="3" t="s">
        <v>55</v>
      </c>
      <c r="C8" s="6"/>
      <c r="D8" s="6"/>
      <c r="E8" s="6"/>
      <c r="I8" s="10" t="s">
        <v>5</v>
      </c>
      <c r="J8" s="11"/>
      <c r="K8" s="9"/>
    </row>
    <row r="9" spans="1:11" x14ac:dyDescent="0.2">
      <c r="A9" s="12"/>
      <c r="B9" s="12"/>
      <c r="C9" s="12"/>
      <c r="D9" s="12"/>
      <c r="F9" s="13"/>
      <c r="G9" s="13"/>
      <c r="H9" s="13"/>
      <c r="I9" s="13"/>
      <c r="J9" s="14"/>
    </row>
    <row r="10" spans="1:11" x14ac:dyDescent="0.2">
      <c r="A10" s="86" t="s">
        <v>6</v>
      </c>
      <c r="B10" s="70"/>
      <c r="C10" s="70"/>
      <c r="D10" s="75"/>
      <c r="E10" s="15"/>
      <c r="F10" s="71" t="s">
        <v>7</v>
      </c>
      <c r="G10" s="72"/>
      <c r="H10" s="72"/>
      <c r="I10" s="72"/>
      <c r="J10" s="73"/>
      <c r="K10" s="9"/>
    </row>
    <row r="11" spans="1:11" x14ac:dyDescent="0.2">
      <c r="A11" s="81" t="s">
        <v>36</v>
      </c>
      <c r="B11" s="65"/>
      <c r="C11" s="65"/>
      <c r="D11" s="77"/>
      <c r="E11" s="15"/>
      <c r="F11" s="80" t="s">
        <v>35</v>
      </c>
      <c r="G11" s="70"/>
      <c r="H11" s="70"/>
      <c r="I11" s="70"/>
      <c r="J11" s="75"/>
      <c r="K11" s="9"/>
    </row>
    <row r="12" spans="1:11" x14ac:dyDescent="0.2">
      <c r="A12" s="81" t="s">
        <v>8</v>
      </c>
      <c r="B12" s="65"/>
      <c r="C12" s="65"/>
      <c r="D12" s="77"/>
      <c r="E12" s="15"/>
      <c r="F12" s="82"/>
      <c r="G12" s="65"/>
      <c r="H12" s="65"/>
      <c r="I12" s="65"/>
      <c r="J12" s="77"/>
      <c r="K12" s="9"/>
    </row>
    <row r="13" spans="1:11" x14ac:dyDescent="0.2">
      <c r="A13" s="81" t="s">
        <v>56</v>
      </c>
      <c r="B13" s="65"/>
      <c r="C13" s="65"/>
      <c r="D13" s="77"/>
      <c r="E13" s="15"/>
      <c r="F13" s="82"/>
      <c r="G13" s="65"/>
      <c r="H13" s="65"/>
      <c r="I13" s="65"/>
      <c r="J13" s="77"/>
      <c r="K13" s="9"/>
    </row>
    <row r="14" spans="1:11" x14ac:dyDescent="0.2">
      <c r="A14" s="81" t="s">
        <v>9</v>
      </c>
      <c r="B14" s="65"/>
      <c r="C14" s="65"/>
      <c r="D14" s="77"/>
      <c r="E14" s="15"/>
      <c r="F14" s="82"/>
      <c r="G14" s="65"/>
      <c r="H14" s="65"/>
      <c r="I14" s="65"/>
      <c r="J14" s="77"/>
      <c r="K14" s="9"/>
    </row>
    <row r="15" spans="1:11" x14ac:dyDescent="0.2">
      <c r="A15" s="94" t="s">
        <v>10</v>
      </c>
      <c r="B15" s="68"/>
      <c r="C15" s="68"/>
      <c r="D15" s="88"/>
      <c r="E15" s="15"/>
      <c r="F15" s="87"/>
      <c r="G15" s="68"/>
      <c r="H15" s="68"/>
      <c r="I15" s="68"/>
      <c r="J15" s="88"/>
      <c r="K15" s="9"/>
    </row>
    <row r="16" spans="1:11" x14ac:dyDescent="0.2">
      <c r="A16" s="13"/>
      <c r="B16" s="13"/>
      <c r="C16" s="13"/>
      <c r="D16" s="13"/>
      <c r="E16" s="13"/>
      <c r="F16" s="14"/>
      <c r="G16" s="14"/>
      <c r="H16" s="14"/>
      <c r="I16" s="14"/>
      <c r="J16" s="14"/>
    </row>
    <row r="17" spans="1:11" x14ac:dyDescent="0.2">
      <c r="A17" s="16" t="s">
        <v>11</v>
      </c>
      <c r="B17" s="95" t="s">
        <v>7</v>
      </c>
      <c r="C17" s="70"/>
      <c r="D17" s="70"/>
      <c r="E17" s="70"/>
      <c r="F17" s="17" t="s">
        <v>12</v>
      </c>
      <c r="G17" s="17" t="s">
        <v>13</v>
      </c>
      <c r="H17" s="17" t="s">
        <v>14</v>
      </c>
      <c r="I17" s="17" t="s">
        <v>15</v>
      </c>
      <c r="J17" s="18" t="s">
        <v>16</v>
      </c>
      <c r="K17" s="9"/>
    </row>
    <row r="18" spans="1:11" x14ac:dyDescent="0.2">
      <c r="A18" s="19"/>
      <c r="B18" s="64" t="s">
        <v>37</v>
      </c>
      <c r="C18" s="65"/>
      <c r="D18" s="65"/>
      <c r="E18" s="65"/>
      <c r="F18" s="21"/>
      <c r="G18" s="22"/>
      <c r="H18" s="23"/>
      <c r="I18" s="24">
        <v>0.15</v>
      </c>
      <c r="J18" s="25" t="str">
        <f>IF(F18*G18*I18,(F18*G18+(F18*G18*I18%)),"")</f>
        <v/>
      </c>
      <c r="K18" s="9"/>
    </row>
    <row r="19" spans="1:11" x14ac:dyDescent="0.2">
      <c r="A19" s="26"/>
      <c r="B19" s="79" t="s">
        <v>38</v>
      </c>
      <c r="C19" s="65"/>
      <c r="D19" s="65"/>
      <c r="E19" s="65"/>
      <c r="F19" s="28"/>
      <c r="G19" s="29"/>
      <c r="H19" s="30"/>
      <c r="I19" s="31">
        <v>0.15</v>
      </c>
      <c r="J19" s="32" t="str">
        <f t="shared" ref="J19:J34" si="0">IF(F19*G19&gt;0,(F19*G19-(F19*G19*H19%)),"")</f>
        <v/>
      </c>
      <c r="K19" s="9"/>
    </row>
    <row r="20" spans="1:11" x14ac:dyDescent="0.2">
      <c r="A20" s="33"/>
      <c r="B20" s="64" t="s">
        <v>39</v>
      </c>
      <c r="C20" s="65"/>
      <c r="D20" s="65"/>
      <c r="E20" s="65"/>
      <c r="F20" s="34"/>
      <c r="G20" s="33"/>
      <c r="H20" s="20"/>
      <c r="I20" s="34">
        <v>0.15</v>
      </c>
      <c r="J20" s="35" t="str">
        <f t="shared" ref="J20:J22" si="1">IF(F20*G20&gt;0,(F20*G20-(F20*G20*H20%)),"")</f>
        <v/>
      </c>
      <c r="K20" s="9"/>
    </row>
    <row r="21" spans="1:11" x14ac:dyDescent="0.2">
      <c r="A21" s="26"/>
      <c r="B21" s="79" t="s">
        <v>40</v>
      </c>
      <c r="C21" s="65"/>
      <c r="D21" s="65"/>
      <c r="E21" s="65"/>
      <c r="F21" s="36"/>
      <c r="G21" s="26"/>
      <c r="H21" s="27"/>
      <c r="I21" s="36">
        <v>0.15</v>
      </c>
      <c r="J21" s="32" t="str">
        <f t="shared" si="1"/>
        <v/>
      </c>
      <c r="K21" s="9"/>
    </row>
    <row r="22" spans="1:11" x14ac:dyDescent="0.2">
      <c r="A22" s="33"/>
      <c r="B22" s="64" t="s">
        <v>41</v>
      </c>
      <c r="C22" s="65"/>
      <c r="D22" s="65"/>
      <c r="E22" s="65"/>
      <c r="F22" s="34"/>
      <c r="G22" s="33"/>
      <c r="H22" s="20"/>
      <c r="I22" s="34">
        <v>0.15</v>
      </c>
      <c r="J22" s="35" t="str">
        <f t="shared" si="1"/>
        <v/>
      </c>
      <c r="K22" s="9"/>
    </row>
    <row r="23" spans="1:11" x14ac:dyDescent="0.2">
      <c r="A23" s="26"/>
      <c r="B23" s="79" t="s">
        <v>43</v>
      </c>
      <c r="C23" s="65"/>
      <c r="D23" s="65"/>
      <c r="E23" s="65"/>
      <c r="F23" s="36"/>
      <c r="G23" s="26"/>
      <c r="H23" s="27"/>
      <c r="I23" s="36">
        <v>0.15</v>
      </c>
      <c r="J23" s="32" t="str">
        <f>IF(F23*G23&gt;0,(F23*G23-(F23*G23*H23%)),"")</f>
        <v/>
      </c>
      <c r="K23" s="9"/>
    </row>
    <row r="24" spans="1:11" x14ac:dyDescent="0.2">
      <c r="A24" s="33"/>
      <c r="B24" s="64" t="s">
        <v>44</v>
      </c>
      <c r="C24" s="65"/>
      <c r="D24" s="65"/>
      <c r="E24" s="65"/>
      <c r="F24" s="34"/>
      <c r="G24" s="33"/>
      <c r="H24" s="20"/>
      <c r="I24" s="34">
        <v>0.15</v>
      </c>
      <c r="J24" s="35" t="str">
        <f t="shared" si="0"/>
        <v/>
      </c>
      <c r="K24" s="9"/>
    </row>
    <row r="25" spans="1:11" x14ac:dyDescent="0.2">
      <c r="A25" s="26"/>
      <c r="B25" s="79" t="s">
        <v>45</v>
      </c>
      <c r="C25" s="65"/>
      <c r="D25" s="65"/>
      <c r="E25" s="65"/>
      <c r="F25" s="36"/>
      <c r="G25" s="26"/>
      <c r="H25" s="27"/>
      <c r="I25" s="36">
        <v>0.15</v>
      </c>
      <c r="J25" s="32" t="str">
        <f t="shared" si="0"/>
        <v/>
      </c>
      <c r="K25" s="9"/>
    </row>
    <row r="26" spans="1:11" x14ac:dyDescent="0.2">
      <c r="A26" s="33"/>
      <c r="B26" s="64" t="s">
        <v>46</v>
      </c>
      <c r="C26" s="65"/>
      <c r="D26" s="65"/>
      <c r="E26" s="65"/>
      <c r="F26" s="34"/>
      <c r="G26" s="33"/>
      <c r="H26" s="20"/>
      <c r="I26" s="34">
        <v>0.15</v>
      </c>
      <c r="J26" s="35" t="str">
        <f t="shared" si="0"/>
        <v/>
      </c>
      <c r="K26" s="9"/>
    </row>
    <row r="27" spans="1:11" x14ac:dyDescent="0.2">
      <c r="A27" s="26"/>
      <c r="B27" s="79" t="s">
        <v>47</v>
      </c>
      <c r="C27" s="65"/>
      <c r="D27" s="65"/>
      <c r="E27" s="65"/>
      <c r="F27" s="36"/>
      <c r="G27" s="26"/>
      <c r="H27" s="27"/>
      <c r="I27" s="36">
        <v>0.15</v>
      </c>
      <c r="J27" s="32" t="str">
        <f t="shared" si="0"/>
        <v/>
      </c>
      <c r="K27" s="9"/>
    </row>
    <row r="28" spans="1:11" x14ac:dyDescent="0.2">
      <c r="A28" s="33"/>
      <c r="B28" s="64" t="s">
        <v>48</v>
      </c>
      <c r="C28" s="65"/>
      <c r="D28" s="65"/>
      <c r="E28" s="65"/>
      <c r="F28" s="34"/>
      <c r="G28" s="33"/>
      <c r="H28" s="20"/>
      <c r="I28" s="34">
        <v>0.15</v>
      </c>
      <c r="J28" s="35" t="str">
        <f t="shared" si="0"/>
        <v/>
      </c>
      <c r="K28" s="9"/>
    </row>
    <row r="29" spans="1:11" x14ac:dyDescent="0.2">
      <c r="A29" s="26"/>
      <c r="B29" s="79" t="s">
        <v>49</v>
      </c>
      <c r="C29" s="65"/>
      <c r="D29" s="65"/>
      <c r="E29" s="65"/>
      <c r="F29" s="36"/>
      <c r="G29" s="26"/>
      <c r="H29" s="27"/>
      <c r="I29" s="36">
        <v>0.15</v>
      </c>
      <c r="J29" s="32" t="str">
        <f t="shared" si="0"/>
        <v/>
      </c>
      <c r="K29" s="9"/>
    </row>
    <row r="30" spans="1:11" x14ac:dyDescent="0.2">
      <c r="A30" s="33"/>
      <c r="B30" s="64"/>
      <c r="C30" s="65"/>
      <c r="D30" s="65"/>
      <c r="E30" s="65"/>
      <c r="F30" s="34"/>
      <c r="G30" s="33"/>
      <c r="H30" s="20"/>
      <c r="I30" s="34"/>
      <c r="J30" s="35" t="str">
        <f t="shared" si="0"/>
        <v/>
      </c>
      <c r="K30" s="9"/>
    </row>
    <row r="31" spans="1:11" x14ac:dyDescent="0.2">
      <c r="A31" s="26"/>
      <c r="B31" s="79"/>
      <c r="C31" s="65"/>
      <c r="D31" s="65"/>
      <c r="E31" s="65"/>
      <c r="F31" s="36"/>
      <c r="G31" s="26"/>
      <c r="H31" s="27"/>
      <c r="I31" s="36"/>
      <c r="J31" s="32" t="str">
        <f t="shared" si="0"/>
        <v/>
      </c>
      <c r="K31" s="9"/>
    </row>
    <row r="32" spans="1:11" x14ac:dyDescent="0.2">
      <c r="A32" s="33"/>
      <c r="B32" s="64"/>
      <c r="C32" s="65"/>
      <c r="D32" s="65"/>
      <c r="E32" s="65"/>
      <c r="F32" s="34"/>
      <c r="G32" s="33"/>
      <c r="H32" s="20"/>
      <c r="I32" s="34"/>
      <c r="J32" s="35" t="str">
        <f t="shared" si="0"/>
        <v/>
      </c>
      <c r="K32" s="9"/>
    </row>
    <row r="33" spans="1:11" x14ac:dyDescent="0.2">
      <c r="A33" s="26"/>
      <c r="B33" s="79" t="s">
        <v>34</v>
      </c>
      <c r="C33" s="65"/>
      <c r="D33" s="65"/>
      <c r="E33" s="65"/>
      <c r="F33" s="36"/>
      <c r="G33" s="29"/>
      <c r="H33" s="27"/>
      <c r="I33" s="36">
        <v>0.15</v>
      </c>
      <c r="J33" s="32" t="str">
        <f t="shared" si="0"/>
        <v/>
      </c>
      <c r="K33" s="9"/>
    </row>
    <row r="34" spans="1:11" x14ac:dyDescent="0.2">
      <c r="A34" s="37"/>
      <c r="B34" s="64"/>
      <c r="C34" s="65"/>
      <c r="D34" s="65"/>
      <c r="E34" s="65"/>
      <c r="F34" s="38"/>
      <c r="G34" s="37"/>
      <c r="H34" s="39"/>
      <c r="I34" s="38"/>
      <c r="J34" s="40" t="str">
        <f t="shared" si="0"/>
        <v/>
      </c>
      <c r="K34" s="9"/>
    </row>
    <row r="35" spans="1:11" x14ac:dyDescent="0.2">
      <c r="A35" s="41"/>
      <c r="B35" s="42"/>
      <c r="C35" s="43"/>
      <c r="D35" s="43"/>
      <c r="E35" s="43"/>
      <c r="F35" s="43"/>
      <c r="G35" s="43"/>
      <c r="H35" s="44"/>
      <c r="I35" s="45" t="s">
        <v>17</v>
      </c>
      <c r="J35" s="46">
        <f>IF(SUM(J18:J34)&gt;0,SUM(J18:J34),0)</f>
        <v>0</v>
      </c>
    </row>
    <row r="36" spans="1:11" x14ac:dyDescent="0.2">
      <c r="A36" s="71" t="s">
        <v>18</v>
      </c>
      <c r="B36" s="72"/>
      <c r="C36" s="72"/>
      <c r="D36" s="72"/>
      <c r="E36" s="72"/>
      <c r="F36" s="72"/>
      <c r="G36" s="73"/>
      <c r="H36" s="47"/>
      <c r="I36" s="48" t="s">
        <v>19</v>
      </c>
      <c r="J36" s="49">
        <f>SUMIF(I18:I34,"=15%",J18:J34)*15%</f>
        <v>0</v>
      </c>
      <c r="K36" s="9"/>
    </row>
    <row r="37" spans="1:11" x14ac:dyDescent="0.2">
      <c r="A37" s="74" t="s">
        <v>20</v>
      </c>
      <c r="B37" s="70"/>
      <c r="C37" s="70"/>
      <c r="D37" s="70"/>
      <c r="E37" s="70"/>
      <c r="F37" s="70"/>
      <c r="G37" s="75"/>
      <c r="H37" s="50"/>
      <c r="I37" s="51" t="s">
        <v>21</v>
      </c>
      <c r="J37" s="52">
        <f>J35+J36</f>
        <v>0</v>
      </c>
      <c r="K37" s="53"/>
    </row>
    <row r="38" spans="1:11" x14ac:dyDescent="0.2">
      <c r="A38" s="76" t="s">
        <v>33</v>
      </c>
      <c r="B38" s="65"/>
      <c r="C38" s="65"/>
      <c r="D38" s="65"/>
      <c r="E38" s="65"/>
      <c r="F38" s="65"/>
      <c r="G38" s="77"/>
      <c r="H38" s="50"/>
    </row>
    <row r="39" spans="1:11" x14ac:dyDescent="0.2">
      <c r="A39" s="76"/>
      <c r="B39" s="65"/>
      <c r="C39" s="65"/>
      <c r="D39" s="65"/>
      <c r="E39" s="65"/>
      <c r="F39" s="65"/>
      <c r="G39" s="77"/>
      <c r="H39" s="50"/>
    </row>
    <row r="40" spans="1:11" x14ac:dyDescent="0.2">
      <c r="A40" s="76"/>
      <c r="B40" s="65"/>
      <c r="C40" s="65"/>
      <c r="D40" s="65"/>
      <c r="E40" s="65"/>
      <c r="F40" s="65"/>
      <c r="G40" s="77"/>
      <c r="H40" s="50"/>
    </row>
    <row r="41" spans="1:11" x14ac:dyDescent="0.2">
      <c r="A41" s="76"/>
      <c r="B41" s="65"/>
      <c r="C41" s="65"/>
      <c r="D41" s="65"/>
      <c r="E41" s="65"/>
      <c r="F41" s="65"/>
      <c r="G41" s="77"/>
      <c r="H41" s="50"/>
      <c r="I41" s="54"/>
    </row>
    <row r="42" spans="1:11" x14ac:dyDescent="0.2">
      <c r="A42" s="76"/>
      <c r="B42" s="65"/>
      <c r="C42" s="65"/>
      <c r="D42" s="65"/>
      <c r="E42" s="65"/>
      <c r="F42" s="65"/>
      <c r="G42" s="77"/>
      <c r="H42" s="50"/>
      <c r="I42" s="54"/>
    </row>
    <row r="43" spans="1:11" x14ac:dyDescent="0.2">
      <c r="A43" s="91"/>
      <c r="B43" s="68"/>
      <c r="C43" s="68"/>
      <c r="D43" s="68"/>
      <c r="E43" s="68"/>
      <c r="F43" s="68"/>
      <c r="G43" s="88"/>
      <c r="H43" s="50"/>
      <c r="I43" s="54"/>
    </row>
    <row r="44" spans="1:11" x14ac:dyDescent="0.2">
      <c r="A44" s="55"/>
      <c r="B44" s="55"/>
      <c r="C44" s="55"/>
      <c r="D44" s="56"/>
      <c r="E44" s="57"/>
      <c r="F44" s="55"/>
      <c r="G44" s="57"/>
      <c r="H44" s="54"/>
    </row>
    <row r="45" spans="1:11" x14ac:dyDescent="0.2">
      <c r="A45" s="92" t="s">
        <v>22</v>
      </c>
      <c r="B45" s="65"/>
      <c r="C45" s="65"/>
      <c r="D45" s="65"/>
      <c r="E45" s="65"/>
      <c r="F45" s="65"/>
      <c r="G45" s="65"/>
      <c r="H45" s="65"/>
      <c r="I45" s="65"/>
      <c r="J45" s="65"/>
    </row>
    <row r="46" spans="1:11" x14ac:dyDescent="0.2">
      <c r="A46" s="92" t="s">
        <v>23</v>
      </c>
      <c r="B46" s="65"/>
      <c r="C46" s="65"/>
      <c r="D46" s="65"/>
      <c r="E46" s="65"/>
      <c r="F46" s="65"/>
      <c r="G46" s="65"/>
      <c r="H46" s="65"/>
      <c r="I46" s="65"/>
      <c r="J46" s="65"/>
    </row>
    <row r="47" spans="1:11" x14ac:dyDescent="0.2">
      <c r="A47" s="58"/>
      <c r="B47" s="58"/>
      <c r="C47" s="58"/>
      <c r="D47" s="59"/>
      <c r="E47" s="54"/>
      <c r="F47" s="58"/>
      <c r="G47" s="54"/>
      <c r="H47" s="54"/>
      <c r="I47" s="54"/>
      <c r="J47" s="54"/>
    </row>
    <row r="48" spans="1:11" x14ac:dyDescent="0.2">
      <c r="A48" s="93" t="s">
        <v>24</v>
      </c>
      <c r="B48" s="65"/>
      <c r="C48" s="65"/>
      <c r="D48" s="65"/>
      <c r="E48" s="65"/>
      <c r="F48" s="65"/>
      <c r="G48" s="89" t="s">
        <v>25</v>
      </c>
      <c r="H48" s="68"/>
      <c r="I48" s="68"/>
      <c r="J48" s="54"/>
    </row>
    <row r="49" spans="1:10" x14ac:dyDescent="0.2">
      <c r="A49" s="54"/>
      <c r="B49" s="54"/>
      <c r="C49" s="54"/>
      <c r="D49" s="54"/>
      <c r="E49" s="54"/>
      <c r="F49" s="54"/>
      <c r="G49" s="90" t="s">
        <v>26</v>
      </c>
      <c r="H49" s="72"/>
      <c r="I49" s="72"/>
      <c r="J49" s="54"/>
    </row>
    <row r="50" spans="1:10" x14ac:dyDescent="0.2">
      <c r="A50" s="54"/>
      <c r="B50" s="54"/>
      <c r="C50" s="54"/>
      <c r="D50" s="54"/>
      <c r="E50" s="54"/>
      <c r="F50" s="54"/>
      <c r="G50" s="90" t="s">
        <v>27</v>
      </c>
      <c r="H50" s="72"/>
      <c r="I50" s="72"/>
      <c r="J50" s="54"/>
    </row>
    <row r="51" spans="1:10" x14ac:dyDescent="0.2">
      <c r="A51" s="54"/>
      <c r="B51" s="60"/>
      <c r="C51" s="60"/>
      <c r="D51" s="60"/>
      <c r="E51" s="60"/>
      <c r="F51" s="60"/>
      <c r="G51" s="61"/>
      <c r="H51" s="61"/>
      <c r="I51" s="61"/>
      <c r="J51" s="60"/>
    </row>
    <row r="52" spans="1:10" x14ac:dyDescent="0.2">
      <c r="A52" s="78" t="s">
        <v>32</v>
      </c>
      <c r="B52" s="65"/>
      <c r="C52" s="65"/>
      <c r="D52" s="65"/>
      <c r="E52" s="65"/>
      <c r="F52" s="65"/>
      <c r="G52" s="65"/>
      <c r="H52" s="65"/>
      <c r="I52" s="65"/>
      <c r="J52" s="65"/>
    </row>
    <row r="53" spans="1:10" x14ac:dyDescent="0.2">
      <c r="A53" s="54"/>
      <c r="B53" s="60"/>
      <c r="C53" s="60"/>
      <c r="D53" s="60"/>
      <c r="E53" s="60"/>
      <c r="F53" s="60"/>
      <c r="G53" s="60"/>
      <c r="H53" s="60"/>
      <c r="I53" s="60"/>
      <c r="J53" s="60"/>
    </row>
    <row r="54" spans="1:10" ht="15.75" customHeight="1" x14ac:dyDescent="0.25">
      <c r="A54" s="66" t="s">
        <v>28</v>
      </c>
      <c r="B54" s="65"/>
      <c r="C54" s="65"/>
      <c r="D54" s="65"/>
      <c r="E54" s="65"/>
      <c r="F54" s="65"/>
      <c r="G54" s="65"/>
      <c r="H54" s="65"/>
      <c r="I54" s="65"/>
      <c r="J54" s="65"/>
    </row>
    <row r="55" spans="1:10" x14ac:dyDescent="0.2">
      <c r="A55" s="67"/>
      <c r="B55" s="68"/>
      <c r="C55" s="68"/>
      <c r="D55" s="68"/>
      <c r="E55" s="68"/>
      <c r="F55" s="68"/>
      <c r="G55" s="68"/>
      <c r="H55" s="68"/>
      <c r="I55" s="68"/>
      <c r="J55" s="68"/>
    </row>
    <row r="56" spans="1:10" x14ac:dyDescent="0.2">
      <c r="A56" s="69"/>
      <c r="B56" s="70"/>
      <c r="C56" s="70"/>
      <c r="D56" s="70"/>
      <c r="E56" s="70"/>
      <c r="F56" s="70"/>
      <c r="G56" s="70"/>
      <c r="H56" s="70"/>
      <c r="I56" s="70"/>
      <c r="J56" s="70"/>
    </row>
    <row r="57" spans="1:10" ht="12.75" customHeight="1" x14ac:dyDescent="0.2">
      <c r="A57" s="65"/>
      <c r="B57" s="65"/>
      <c r="C57" s="65"/>
      <c r="D57" s="65"/>
      <c r="E57" s="65"/>
      <c r="F57" s="65"/>
      <c r="G57" s="65"/>
      <c r="H57" s="65"/>
      <c r="I57" s="65"/>
      <c r="J57" s="65"/>
    </row>
  </sheetData>
  <mergeCells count="51">
    <mergeCell ref="F14:J14"/>
    <mergeCell ref="F15:J15"/>
    <mergeCell ref="G48:I48"/>
    <mergeCell ref="G49:I49"/>
    <mergeCell ref="G50:I50"/>
    <mergeCell ref="A40:G40"/>
    <mergeCell ref="A41:G41"/>
    <mergeCell ref="A42:G42"/>
    <mergeCell ref="A43:G43"/>
    <mergeCell ref="A45:J45"/>
    <mergeCell ref="A46:J46"/>
    <mergeCell ref="A48:F48"/>
    <mergeCell ref="A14:D14"/>
    <mergeCell ref="A15:D15"/>
    <mergeCell ref="B17:E17"/>
    <mergeCell ref="B18:E18"/>
    <mergeCell ref="H1:J1"/>
    <mergeCell ref="A3:E3"/>
    <mergeCell ref="I3:J3"/>
    <mergeCell ref="A10:D10"/>
    <mergeCell ref="F10:J10"/>
    <mergeCell ref="F11:J11"/>
    <mergeCell ref="A11:D11"/>
    <mergeCell ref="A12:D12"/>
    <mergeCell ref="A13:D13"/>
    <mergeCell ref="F12:J12"/>
    <mergeCell ref="F13:J13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A54:J54"/>
    <mergeCell ref="A55:J55"/>
    <mergeCell ref="A56:J57"/>
    <mergeCell ref="A36:G36"/>
    <mergeCell ref="A37:G37"/>
    <mergeCell ref="A38:G38"/>
    <mergeCell ref="A39:G39"/>
    <mergeCell ref="A52:J52"/>
  </mergeCells>
  <dataValidations count="2">
    <dataValidation type="list" allowBlank="1" sqref="I19:I34" xr:uid="{00000000-0002-0000-0000-000000000000}">
      <formula1>"15%,NO VAT"</formula1>
    </dataValidation>
    <dataValidation type="list" allowBlank="1" sqref="I18" xr:uid="{00000000-0002-0000-0000-000001000000}">
      <formula1>"15%,NO VAT,"</formula1>
    </dataValidation>
  </dataValidations>
  <hyperlinks>
    <hyperlink ref="B6" r:id="rId1" display="info@steadfastconstruction.co.za" xr:uid="{25764C61-600F-451B-B0A6-C7F29E3F448E}"/>
  </hyperlinks>
  <pageMargins left="0.7" right="0.7" top="0.75" bottom="0.75" header="0.3" footer="0.3"/>
  <pageSetup orientation="portrait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Gavine Esterhuizen</cp:lastModifiedBy>
  <cp:lastPrinted>2024-07-14T21:28:44Z</cp:lastPrinted>
  <dcterms:modified xsi:type="dcterms:W3CDTF">2026-03-01T13:19:01Z</dcterms:modified>
</cp:coreProperties>
</file>