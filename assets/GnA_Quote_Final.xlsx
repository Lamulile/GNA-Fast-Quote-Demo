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filterPrivacy="1"/>
  <xr:revisionPtr revIDLastSave="0" documentId="13_ncr:1_{CC635DA9-F93F-4329-96A8-7537B95A62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l 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H59" i="1" s="1"/>
  <c r="F58" i="1"/>
  <c r="H58" i="1" s="1"/>
  <c r="F57" i="1"/>
  <c r="H57" i="1" s="1"/>
  <c r="F56" i="1"/>
  <c r="H56" i="1" s="1"/>
  <c r="F55" i="1"/>
  <c r="H55" i="1" s="1"/>
  <c r="F54" i="1"/>
  <c r="H54" i="1" s="1"/>
  <c r="F53" i="1"/>
  <c r="H53" i="1" s="1"/>
  <c r="F52" i="1"/>
  <c r="H52" i="1" s="1"/>
  <c r="F51" i="1"/>
  <c r="H51" i="1" s="1"/>
  <c r="F50" i="1"/>
  <c r="H50" i="1" s="1"/>
  <c r="F49" i="1"/>
  <c r="H49" i="1" s="1"/>
  <c r="F48" i="1"/>
  <c r="H48" i="1" s="1"/>
  <c r="F47" i="1"/>
  <c r="H47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62" i="1" l="1"/>
  <c r="H10" i="1"/>
  <c r="H63" i="1" l="1"/>
  <c r="H64" i="1" s="1"/>
  <c r="H66" i="1" s="1"/>
</calcChain>
</file>

<file path=xl/sharedStrings.xml><?xml version="1.0" encoding="utf-8"?>
<sst xmlns="http://schemas.openxmlformats.org/spreadsheetml/2006/main" count="180" uniqueCount="90">
  <si>
    <t>GnA Fast Quote</t>
  </si>
  <si>
    <t>Quotation</t>
  </si>
  <si>
    <t>Address:</t>
  </si>
  <si>
    <t>13 Beethoven rd, Melodie, Hartbeespoort</t>
  </si>
  <si>
    <t>Email:</t>
  </si>
  <si>
    <t>Date:</t>
  </si>
  <si>
    <t>02/05/2026</t>
  </si>
  <si>
    <t>VAT No:</t>
  </si>
  <si>
    <t>1234567890</t>
  </si>
  <si>
    <t>Quote Number:</t>
  </si>
  <si>
    <t>GNA-000036</t>
  </si>
  <si>
    <t>Category</t>
  </si>
  <si>
    <t>Item</t>
  </si>
  <si>
    <t>Qty</t>
  </si>
  <si>
    <t>Units</t>
  </si>
  <si>
    <t>Unit Price</t>
  </si>
  <si>
    <t>Total Amount</t>
  </si>
  <si>
    <t>VAT Rate</t>
  </si>
  <si>
    <t>Line Total</t>
  </si>
  <si>
    <t>▶ LEVEL: GENERAL</t>
  </si>
  <si>
    <t>Concrete</t>
  </si>
  <si>
    <t>Ready Mix Concrete 25MPa</t>
  </si>
  <si>
    <t>m3</t>
  </si>
  <si>
    <t/>
  </si>
  <si>
    <t>Hardcore Fill G5</t>
  </si>
  <si>
    <t>DPM 375 Micron</t>
  </si>
  <si>
    <t>roll</t>
  </si>
  <si>
    <t>Masonry</t>
  </si>
  <si>
    <t>Stock Brick (Clay)</t>
  </si>
  <si>
    <t>each</t>
  </si>
  <si>
    <t>Audit</t>
  </si>
  <si>
    <t>Excavation and Earthworks</t>
  </si>
  <si>
    <t>Finishes</t>
  </si>
  <si>
    <t>Pine Skirting</t>
  </si>
  <si>
    <t>m</t>
  </si>
  <si>
    <t>Polystyrene Cornice</t>
  </si>
  <si>
    <t>Unmapped Items</t>
  </si>
  <si>
    <t>[NEW ITEM] excavation trench</t>
  </si>
  <si>
    <t>unit</t>
  </si>
  <si>
    <t>[NEW ITEM] cornice cove</t>
  </si>
  <si>
    <t>[NEW ITEM] elec point standard</t>
  </si>
  <si>
    <t>[NEW ITEM] plumb point standard</t>
  </si>
  <si>
    <t>Site Setup &amp; Preliminaries</t>
  </si>
  <si>
    <t>Hire of Portable Toilet (Chemical)</t>
  </si>
  <si>
    <t>month</t>
  </si>
  <si>
    <t>Temporary Water &amp; Electricity Connection</t>
  </si>
  <si>
    <t>lot</t>
  </si>
  <si>
    <t>Skip Hire for Rubble Removal (6m3)</t>
  </si>
  <si>
    <t>Scaffolding Hire (Double Volume/First Floor)</t>
  </si>
  <si>
    <t>Labor &amp; Preliminaries</t>
  </si>
  <si>
    <t>Labor Costs</t>
  </si>
  <si>
    <t>Hire of Portable Toilet</t>
  </si>
  <si>
    <t>Scaffolding hire</t>
  </si>
  <si>
    <t>Temporary water and electricity connection</t>
  </si>
  <si>
    <t>Hire costs for rubble removal</t>
  </si>
  <si>
    <t>▶ LEVEL: GROUND</t>
  </si>
  <si>
    <t>Cement Maxi Block</t>
  </si>
  <si>
    <t>Cement 42.5N</t>
  </si>
  <si>
    <t>bag</t>
  </si>
  <si>
    <t>Building Sand</t>
  </si>
  <si>
    <t>Plaster Sand</t>
  </si>
  <si>
    <t>Cement 32.5N</t>
  </si>
  <si>
    <t>Premium Acrylic Paint 20L</t>
  </si>
  <si>
    <t>drum</t>
  </si>
  <si>
    <t>Rhinolite Gypsum Plaster</t>
  </si>
  <si>
    <t>Openings</t>
  </si>
  <si>
    <t>Concrete Lintel 1.2m</t>
  </si>
  <si>
    <t>Solid Wood Door</t>
  </si>
  <si>
    <t>Aluminium Window PTT1212</t>
  </si>
  <si>
    <t>▶ LEVEL: FIRST</t>
  </si>
  <si>
    <t>Subtotal excl VAT</t>
  </si>
  <si>
    <t>Tax/VAT</t>
  </si>
  <si>
    <t>Total Incl VAT</t>
  </si>
  <si>
    <t>Above information is not an invoice and only an estimate of services/goods described above.</t>
  </si>
  <si>
    <t>GRAND TOTAL:</t>
  </si>
  <si>
    <t>DISCLAIMER: Software estimates are for preliminary calculation only. Contractors must manually verify all quantities, math, and prices.</t>
  </si>
  <si>
    <t>MATERIAL WASTAGE FACTORS INCLUDED IN QUANTITIES:</t>
  </si>
  <si>
    <t>• Roof Tiles: 5%</t>
  </si>
  <si>
    <t>• Floor Tiles: 10%</t>
  </si>
  <si>
    <t>• Bricks: 5%</t>
  </si>
  <si>
    <t>• Paint: 15% (Absorption)</t>
  </si>
  <si>
    <t>QUOTATION COLOR KEY:</t>
  </si>
  <si>
    <t>GREEN</t>
  </si>
  <si>
    <t>Item and Price verified from Master Template.</t>
  </si>
  <si>
    <t>YELLOW</t>
  </si>
  <si>
    <t>Item found, but NO PRICE in template. Needs manual pricing.</t>
  </si>
  <si>
    <t>ORANGE</t>
  </si>
  <si>
    <t>NEW ITEM discovered. Not in your database yet. Needs manual pricing &amp; adding to DB.</t>
  </si>
  <si>
    <t>Thank you for your business!</t>
  </si>
  <si>
    <t>support@gnafastquote.co.za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</si>
</sst>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7">
    <font>
      <sz val="11"/>
      <color theme="1"/>
      <name val="Calibri"/>
      <family val="2"/>
      <scheme val="minor"/>
    </font>
    <font>
      <sz val="11"/>
      <name val="Calibri"/>
    </font>
    <font>
      <b/>
      <sz val="16"/>
      <name val="Calibri"/>
    </font>
    <font>
      <b/>
      <sz val="28"/>
      <color rgb="FF1E3A8A"/>
      <name val="Calibri"/>
    </font>
    <font>
      <b/>
      <sz val="11"/>
      <color rgb="FFFFFFFF"/>
      <name val="Calibri"/>
    </font>
    <font>
      <b/>
      <sz val="12"/>
      <color rgb="FF004B87"/>
      <name val="Calibri"/>
    </font>
    <font>
      <b/>
      <sz val="11"/>
      <name val="Calibri"/>
    </font>
    <font>
      <b/>
      <sz val="12"/>
      <name val="Calibri"/>
    </font>
    <font>
      <b/>
      <sz val="12"/>
      <color rgb="FF000000"/>
      <name val="Calibri"/>
    </font>
    <font>
      <i/>
      <sz val="10"/>
      <name val="Calibri"/>
    </font>
    <font>
      <b/>
      <sz val="20"/>
      <name val="Calibri"/>
    </font>
    <font>
      <b/>
      <sz val="20"/>
      <color rgb="FF15803D"/>
      <name val="Calibri"/>
    </font>
    <font>
      <b/>
      <i/>
      <sz val="10"/>
      <color rgb="FFCC0000"/>
      <name val="Calibri"/>
    </font>
    <font>
      <b/>
      <sz val="10"/>
      <color rgb="FF475569"/>
      <name val="Calibri"/>
    </font>
    <font>
      <sz val="9"/>
      <color rgb="FF64748B"/>
      <name val="Calibri"/>
    </font>
    <font>
      <b/>
      <sz val="16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CFCE7"/>
      </patternFill>
    </fill>
    <fill>
      <patternFill patternType="solid">
        <fgColor rgb="FFF6E05E"/>
      </patternFill>
    </fill>
    <fill>
      <patternFill patternType="solid">
        <fgColor rgb="FFFB923C"/>
      </patternFill>
    </fill>
    <fill>
      <patternFill patternType="solid">
        <fgColor rgb="FFF1F5F9"/>
      </patternFill>
    </fill>
    <fill>
      <patternFill patternType="solid">
        <fgColor rgb="FF4ADE8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rgb="FFCC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/>
    <xf numFmtId="9" fontId="1" fillId="3" borderId="2" xfId="0" applyNumberFormat="1" applyFont="1" applyFill="1" applyBorder="1" applyAlignment="1">
      <alignment horizontal="center"/>
    </xf>
    <xf numFmtId="0" fontId="6" fillId="4" borderId="2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164" fontId="1" fillId="4" borderId="2" xfId="0" applyNumberFormat="1" applyFont="1" applyFill="1" applyBorder="1"/>
    <xf numFmtId="9" fontId="1" fillId="4" borderId="2" xfId="0" applyNumberFormat="1" applyFont="1" applyFill="1" applyBorder="1" applyAlignment="1">
      <alignment horizontal="center"/>
    </xf>
    <xf numFmtId="0" fontId="6" fillId="5" borderId="2" xfId="0" applyFont="1" applyFill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horizontal="center"/>
    </xf>
    <xf numFmtId="164" fontId="1" fillId="5" borderId="2" xfId="0" applyNumberFormat="1" applyFont="1" applyFill="1" applyBorder="1"/>
    <xf numFmtId="9" fontId="1" fillId="5" borderId="2" xfId="0" applyNumberFormat="1" applyFont="1" applyFill="1" applyBorder="1" applyAlignment="1">
      <alignment horizontal="center"/>
    </xf>
    <xf numFmtId="0" fontId="6" fillId="0" borderId="0" xfId="0" applyFont="1"/>
    <xf numFmtId="164" fontId="6" fillId="0" borderId="3" xfId="0" applyNumberFormat="1" applyFont="1" applyBorder="1"/>
    <xf numFmtId="164" fontId="6" fillId="0" borderId="4" xfId="0" applyNumberFormat="1" applyFont="1" applyBorder="1"/>
    <xf numFmtId="0" fontId="7" fillId="0" borderId="0" xfId="0" applyFont="1"/>
    <xf numFmtId="164" fontId="8" fillId="6" borderId="4" xfId="0" applyNumberFormat="1" applyFont="1" applyFill="1" applyBorder="1"/>
    <xf numFmtId="0" fontId="9" fillId="0" borderId="0" xfId="0" applyFont="1"/>
    <xf numFmtId="0" fontId="10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7" borderId="0" xfId="0" applyFont="1" applyFill="1"/>
    <xf numFmtId="0" fontId="1" fillId="4" borderId="0" xfId="0" applyFont="1" applyFill="1"/>
    <xf numFmtId="0" fontId="1" fillId="5" borderId="0" xfId="0" applyFont="1" applyFill="1"/>
    <xf numFmtId="0" fontId="5" fillId="0" borderId="0" xfId="0" applyFont="1"/>
    <xf numFmtId="0" fontId="15" fillId="0" borderId="0" xfId="0" applyFont="1" applyAlignment="1">
      <alignment horizontal="center"/>
    </xf>
    <xf numFmtId="0" fontId="1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5250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upport@gnafastquote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84"/>
  <sheetViews>
    <sheetView tabSelected="1" workbookViewId="0">
      <selection activeCell="D3" sqref="D3"/>
    </sheetView>
  </sheetViews>
  <sheetFormatPr defaultRowHeight="15"/>
  <cols>
    <col min="1" max="1" width="35" customWidth="1"/>
    <col min="2" max="2" width="45" customWidth="1"/>
    <col min="3" max="4" width="10" customWidth="1"/>
    <col min="5" max="5" width="18" customWidth="1"/>
    <col min="6" max="8" width="22" customWidth="1"/>
  </cols>
  <sheetData>
    <row r="3" spans="1:8" s="1" customFormat="1" ht="36">
      <c r="A3" s="2" t="s">
        <v>0</v>
      </c>
      <c r="H3" s="3" t="s">
        <v>1</v>
      </c>
    </row>
    <row r="4" spans="1:8" s="1" customFormat="1">
      <c r="A4" s="1" t="s">
        <v>2</v>
      </c>
      <c r="B4" s="1" t="s">
        <v>3</v>
      </c>
    </row>
    <row r="5" spans="1:8" s="1" customFormat="1">
      <c r="A5" s="1" t="s">
        <v>4</v>
      </c>
      <c r="B5" s="37" t="s">
        <v>89</v>
      </c>
      <c r="G5" s="1" t="s">
        <v>5</v>
      </c>
      <c r="H5" s="4" t="s">
        <v>6</v>
      </c>
    </row>
    <row r="6" spans="1:8" s="1" customFormat="1">
      <c r="A6" s="1" t="s">
        <v>7</v>
      </c>
      <c r="B6" s="1" t="s">
        <v>8</v>
      </c>
      <c r="G6" s="1" t="s">
        <v>9</v>
      </c>
      <c r="H6" s="4" t="s">
        <v>10</v>
      </c>
    </row>
    <row r="8" spans="1:8" s="1" customFormat="1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</row>
    <row r="9" spans="1:8" s="1" customFormat="1" ht="15.75">
      <c r="A9" s="35" t="s">
        <v>19</v>
      </c>
      <c r="B9" s="35"/>
      <c r="C9" s="35"/>
      <c r="D9" s="35"/>
      <c r="E9" s="35"/>
      <c r="F9" s="35"/>
      <c r="G9" s="35"/>
      <c r="H9" s="35"/>
    </row>
    <row r="10" spans="1:8" s="1" customFormat="1">
      <c r="A10" s="6" t="s">
        <v>20</v>
      </c>
      <c r="B10" s="7" t="s">
        <v>21</v>
      </c>
      <c r="C10" s="8">
        <v>35.07</v>
      </c>
      <c r="D10" s="8" t="s">
        <v>22</v>
      </c>
      <c r="E10" s="9">
        <v>1576.67</v>
      </c>
      <c r="F10" s="9">
        <f t="shared" ref="F10:F29" si="0">C10*E10</f>
        <v>55293.816900000005</v>
      </c>
      <c r="G10" s="10">
        <v>0.15</v>
      </c>
      <c r="H10" s="9">
        <f t="shared" ref="H10:H29" si="1">F10*1.15</f>
        <v>63587.889435000005</v>
      </c>
    </row>
    <row r="11" spans="1:8" s="1" customFormat="1">
      <c r="A11" s="6" t="s">
        <v>23</v>
      </c>
      <c r="B11" s="7" t="s">
        <v>24</v>
      </c>
      <c r="C11" s="8">
        <v>49.65</v>
      </c>
      <c r="D11" s="8" t="s">
        <v>22</v>
      </c>
      <c r="E11" s="9">
        <v>323.33</v>
      </c>
      <c r="F11" s="9">
        <f t="shared" si="0"/>
        <v>16053.334499999999</v>
      </c>
      <c r="G11" s="10">
        <v>0.15</v>
      </c>
      <c r="H11" s="9">
        <f t="shared" si="1"/>
        <v>18461.334674999998</v>
      </c>
    </row>
    <row r="12" spans="1:8" s="1" customFormat="1">
      <c r="A12" s="6" t="s">
        <v>23</v>
      </c>
      <c r="B12" s="7" t="s">
        <v>25</v>
      </c>
      <c r="C12" s="8">
        <v>6.03</v>
      </c>
      <c r="D12" s="8" t="s">
        <v>26</v>
      </c>
      <c r="E12" s="9">
        <v>525.66999999999996</v>
      </c>
      <c r="F12" s="9">
        <f t="shared" si="0"/>
        <v>3169.7900999999997</v>
      </c>
      <c r="G12" s="10">
        <v>0.15</v>
      </c>
      <c r="H12" s="9">
        <f t="shared" si="1"/>
        <v>3645.2586149999993</v>
      </c>
    </row>
    <row r="13" spans="1:8" s="1" customFormat="1">
      <c r="A13" s="6" t="s">
        <v>27</v>
      </c>
      <c r="B13" s="7" t="s">
        <v>28</v>
      </c>
      <c r="C13" s="8">
        <v>32</v>
      </c>
      <c r="D13" s="8" t="s">
        <v>29</v>
      </c>
      <c r="E13" s="9">
        <v>2.1</v>
      </c>
      <c r="F13" s="9">
        <f t="shared" si="0"/>
        <v>67.2</v>
      </c>
      <c r="G13" s="10">
        <v>0.15</v>
      </c>
      <c r="H13" s="9">
        <f t="shared" si="1"/>
        <v>77.28</v>
      </c>
    </row>
    <row r="14" spans="1:8" s="1" customFormat="1">
      <c r="A14" s="6" t="s">
        <v>30</v>
      </c>
      <c r="B14" s="7" t="s">
        <v>31</v>
      </c>
      <c r="C14" s="8">
        <v>45</v>
      </c>
      <c r="D14" s="8" t="s">
        <v>22</v>
      </c>
      <c r="E14" s="9">
        <v>450</v>
      </c>
      <c r="F14" s="9">
        <f t="shared" si="0"/>
        <v>20250</v>
      </c>
      <c r="G14" s="10">
        <v>0.15</v>
      </c>
      <c r="H14" s="9">
        <f t="shared" si="1"/>
        <v>23287.5</v>
      </c>
    </row>
    <row r="15" spans="1:8" s="1" customFormat="1">
      <c r="A15" s="6" t="s">
        <v>32</v>
      </c>
      <c r="B15" s="7" t="s">
        <v>33</v>
      </c>
      <c r="C15" s="8">
        <v>314.2</v>
      </c>
      <c r="D15" s="8" t="s">
        <v>34</v>
      </c>
      <c r="E15" s="9">
        <v>112.17</v>
      </c>
      <c r="F15" s="9">
        <f t="shared" si="0"/>
        <v>35243.813999999998</v>
      </c>
      <c r="G15" s="10">
        <v>0.15</v>
      </c>
      <c r="H15" s="9">
        <f t="shared" si="1"/>
        <v>40530.386099999996</v>
      </c>
    </row>
    <row r="16" spans="1:8" s="1" customFormat="1">
      <c r="A16" s="11" t="s">
        <v>23</v>
      </c>
      <c r="B16" s="12" t="s">
        <v>35</v>
      </c>
      <c r="C16" s="13">
        <v>75</v>
      </c>
      <c r="D16" s="13" t="s">
        <v>34</v>
      </c>
      <c r="E16" s="14">
        <v>0</v>
      </c>
      <c r="F16" s="14">
        <f t="shared" si="0"/>
        <v>0</v>
      </c>
      <c r="G16" s="15">
        <v>0.15</v>
      </c>
      <c r="H16" s="14">
        <f t="shared" si="1"/>
        <v>0</v>
      </c>
    </row>
    <row r="17" spans="1:8" s="1" customFormat="1">
      <c r="A17" s="16" t="s">
        <v>36</v>
      </c>
      <c r="B17" s="17" t="s">
        <v>37</v>
      </c>
      <c r="C17" s="18">
        <v>50.4</v>
      </c>
      <c r="D17" s="18" t="s">
        <v>38</v>
      </c>
      <c r="E17" s="19">
        <v>0</v>
      </c>
      <c r="F17" s="19">
        <f t="shared" si="0"/>
        <v>0</v>
      </c>
      <c r="G17" s="20">
        <v>0.15</v>
      </c>
      <c r="H17" s="19">
        <f t="shared" si="1"/>
        <v>0</v>
      </c>
    </row>
    <row r="18" spans="1:8" s="1" customFormat="1">
      <c r="A18" s="16" t="s">
        <v>23</v>
      </c>
      <c r="B18" s="17" t="s">
        <v>39</v>
      </c>
      <c r="C18" s="18">
        <v>392</v>
      </c>
      <c r="D18" s="18" t="s">
        <v>38</v>
      </c>
      <c r="E18" s="19">
        <v>0</v>
      </c>
      <c r="F18" s="19">
        <f t="shared" si="0"/>
        <v>0</v>
      </c>
      <c r="G18" s="20">
        <v>0.15</v>
      </c>
      <c r="H18" s="19">
        <f t="shared" si="1"/>
        <v>0</v>
      </c>
    </row>
    <row r="19" spans="1:8" s="1" customFormat="1">
      <c r="A19" s="16" t="s">
        <v>23</v>
      </c>
      <c r="B19" s="17" t="s">
        <v>40</v>
      </c>
      <c r="C19" s="18">
        <v>48</v>
      </c>
      <c r="D19" s="18" t="s">
        <v>38</v>
      </c>
      <c r="E19" s="19">
        <v>0</v>
      </c>
      <c r="F19" s="19">
        <f t="shared" si="0"/>
        <v>0</v>
      </c>
      <c r="G19" s="20">
        <v>0.15</v>
      </c>
      <c r="H19" s="19">
        <f t="shared" si="1"/>
        <v>0</v>
      </c>
    </row>
    <row r="20" spans="1:8" s="1" customFormat="1">
      <c r="A20" s="16" t="s">
        <v>23</v>
      </c>
      <c r="B20" s="17" t="s">
        <v>41</v>
      </c>
      <c r="C20" s="18">
        <v>6</v>
      </c>
      <c r="D20" s="18" t="s">
        <v>38</v>
      </c>
      <c r="E20" s="19">
        <v>0</v>
      </c>
      <c r="F20" s="19">
        <f t="shared" si="0"/>
        <v>0</v>
      </c>
      <c r="G20" s="20">
        <v>0.15</v>
      </c>
      <c r="H20" s="19">
        <f t="shared" si="1"/>
        <v>0</v>
      </c>
    </row>
    <row r="21" spans="1:8" s="1" customFormat="1">
      <c r="A21" s="6" t="s">
        <v>42</v>
      </c>
      <c r="B21" s="7" t="s">
        <v>43</v>
      </c>
      <c r="C21" s="8">
        <v>7</v>
      </c>
      <c r="D21" s="8" t="s">
        <v>44</v>
      </c>
      <c r="E21" s="9">
        <v>950</v>
      </c>
      <c r="F21" s="9">
        <f t="shared" si="0"/>
        <v>6650</v>
      </c>
      <c r="G21" s="10">
        <v>0.15</v>
      </c>
      <c r="H21" s="9">
        <f t="shared" si="1"/>
        <v>7647.4999999999991</v>
      </c>
    </row>
    <row r="22" spans="1:8" s="1" customFormat="1">
      <c r="A22" s="6" t="s">
        <v>23</v>
      </c>
      <c r="B22" s="7" t="s">
        <v>45</v>
      </c>
      <c r="C22" s="8">
        <v>1</v>
      </c>
      <c r="D22" s="8" t="s">
        <v>46</v>
      </c>
      <c r="E22" s="9">
        <v>2500</v>
      </c>
      <c r="F22" s="9">
        <f t="shared" si="0"/>
        <v>2500</v>
      </c>
      <c r="G22" s="10">
        <v>0.15</v>
      </c>
      <c r="H22" s="9">
        <f t="shared" si="1"/>
        <v>2875</v>
      </c>
    </row>
    <row r="23" spans="1:8" s="1" customFormat="1">
      <c r="A23" s="6" t="s">
        <v>23</v>
      </c>
      <c r="B23" s="7" t="s">
        <v>47</v>
      </c>
      <c r="C23" s="8">
        <v>4</v>
      </c>
      <c r="D23" s="8" t="s">
        <v>29</v>
      </c>
      <c r="E23" s="9">
        <v>1200</v>
      </c>
      <c r="F23" s="9">
        <f t="shared" si="0"/>
        <v>4800</v>
      </c>
      <c r="G23" s="10">
        <v>0.15</v>
      </c>
      <c r="H23" s="9">
        <f t="shared" si="1"/>
        <v>5520</v>
      </c>
    </row>
    <row r="24" spans="1:8" s="1" customFormat="1">
      <c r="A24" s="6" t="s">
        <v>23</v>
      </c>
      <c r="B24" s="7" t="s">
        <v>48</v>
      </c>
      <c r="C24" s="8">
        <v>7</v>
      </c>
      <c r="D24" s="8" t="s">
        <v>44</v>
      </c>
      <c r="E24" s="9">
        <v>4500</v>
      </c>
      <c r="F24" s="9">
        <f t="shared" si="0"/>
        <v>31500</v>
      </c>
      <c r="G24" s="10">
        <v>0.15</v>
      </c>
      <c r="H24" s="9">
        <f t="shared" si="1"/>
        <v>36225</v>
      </c>
    </row>
    <row r="25" spans="1:8" s="1" customFormat="1">
      <c r="A25" s="11" t="s">
        <v>49</v>
      </c>
      <c r="B25" s="12" t="s">
        <v>50</v>
      </c>
      <c r="C25" s="13">
        <v>1</v>
      </c>
      <c r="D25" s="13" t="s">
        <v>46</v>
      </c>
      <c r="E25" s="14">
        <v>0</v>
      </c>
      <c r="F25" s="14">
        <f t="shared" si="0"/>
        <v>0</v>
      </c>
      <c r="G25" s="15">
        <v>0.15</v>
      </c>
      <c r="H25" s="14">
        <f t="shared" si="1"/>
        <v>0</v>
      </c>
    </row>
    <row r="26" spans="1:8" s="1" customFormat="1">
      <c r="A26" s="11" t="s">
        <v>23</v>
      </c>
      <c r="B26" s="12" t="s">
        <v>51</v>
      </c>
      <c r="C26" s="13">
        <v>1</v>
      </c>
      <c r="D26" s="13" t="s">
        <v>46</v>
      </c>
      <c r="E26" s="14">
        <v>0</v>
      </c>
      <c r="F26" s="14">
        <f t="shared" si="0"/>
        <v>0</v>
      </c>
      <c r="G26" s="15">
        <v>0.15</v>
      </c>
      <c r="H26" s="14">
        <f t="shared" si="1"/>
        <v>0</v>
      </c>
    </row>
    <row r="27" spans="1:8" s="1" customFormat="1">
      <c r="A27" s="11" t="s">
        <v>23</v>
      </c>
      <c r="B27" s="12" t="s">
        <v>52</v>
      </c>
      <c r="C27" s="13">
        <v>1</v>
      </c>
      <c r="D27" s="13" t="s">
        <v>46</v>
      </c>
      <c r="E27" s="14">
        <v>0</v>
      </c>
      <c r="F27" s="14">
        <f t="shared" si="0"/>
        <v>0</v>
      </c>
      <c r="G27" s="15">
        <v>0.15</v>
      </c>
      <c r="H27" s="14">
        <f t="shared" si="1"/>
        <v>0</v>
      </c>
    </row>
    <row r="28" spans="1:8" s="1" customFormat="1">
      <c r="A28" s="11" t="s">
        <v>23</v>
      </c>
      <c r="B28" s="12" t="s">
        <v>53</v>
      </c>
      <c r="C28" s="13">
        <v>1</v>
      </c>
      <c r="D28" s="13" t="s">
        <v>46</v>
      </c>
      <c r="E28" s="14">
        <v>0</v>
      </c>
      <c r="F28" s="14">
        <f t="shared" si="0"/>
        <v>0</v>
      </c>
      <c r="G28" s="15">
        <v>0.15</v>
      </c>
      <c r="H28" s="14">
        <f t="shared" si="1"/>
        <v>0</v>
      </c>
    </row>
    <row r="29" spans="1:8" s="1" customFormat="1">
      <c r="A29" s="11" t="s">
        <v>23</v>
      </c>
      <c r="B29" s="12" t="s">
        <v>54</v>
      </c>
      <c r="C29" s="13">
        <v>1</v>
      </c>
      <c r="D29" s="13" t="s">
        <v>46</v>
      </c>
      <c r="E29" s="14">
        <v>0</v>
      </c>
      <c r="F29" s="14">
        <f t="shared" si="0"/>
        <v>0</v>
      </c>
      <c r="G29" s="15">
        <v>0.15</v>
      </c>
      <c r="H29" s="14">
        <f t="shared" si="1"/>
        <v>0</v>
      </c>
    </row>
    <row r="31" spans="1:8" s="1" customFormat="1" ht="15.75">
      <c r="A31" s="35" t="s">
        <v>55</v>
      </c>
      <c r="B31" s="35"/>
      <c r="C31" s="35"/>
      <c r="D31" s="35"/>
      <c r="E31" s="35"/>
      <c r="F31" s="35"/>
      <c r="G31" s="35"/>
      <c r="H31" s="35"/>
    </row>
    <row r="32" spans="1:8" s="1" customFormat="1">
      <c r="A32" s="6" t="s">
        <v>27</v>
      </c>
      <c r="B32" s="7" t="s">
        <v>56</v>
      </c>
      <c r="C32" s="8">
        <v>7442</v>
      </c>
      <c r="D32" s="8" t="s">
        <v>29</v>
      </c>
      <c r="E32" s="9">
        <v>13.36</v>
      </c>
      <c r="F32" s="9">
        <f t="shared" ref="F32:F44" si="2">C32*E32</f>
        <v>99425.12</v>
      </c>
      <c r="G32" s="10">
        <v>0.15</v>
      </c>
      <c r="H32" s="9">
        <f t="shared" ref="H32:H44" si="3">F32*1.15</f>
        <v>114338.88799999999</v>
      </c>
    </row>
    <row r="33" spans="1:8" s="1" customFormat="1">
      <c r="A33" s="6" t="s">
        <v>23</v>
      </c>
      <c r="B33" s="7" t="s">
        <v>57</v>
      </c>
      <c r="C33" s="8">
        <v>104</v>
      </c>
      <c r="D33" s="8" t="s">
        <v>58</v>
      </c>
      <c r="E33" s="9">
        <v>126</v>
      </c>
      <c r="F33" s="9">
        <f t="shared" si="2"/>
        <v>13104</v>
      </c>
      <c r="G33" s="10">
        <v>0.15</v>
      </c>
      <c r="H33" s="9">
        <f t="shared" si="3"/>
        <v>15069.599999999999</v>
      </c>
    </row>
    <row r="34" spans="1:8" s="1" customFormat="1">
      <c r="A34" s="6" t="s">
        <v>23</v>
      </c>
      <c r="B34" s="7" t="s">
        <v>59</v>
      </c>
      <c r="C34" s="8">
        <v>14.88</v>
      </c>
      <c r="D34" s="8" t="s">
        <v>22</v>
      </c>
      <c r="E34" s="9">
        <v>385</v>
      </c>
      <c r="F34" s="9">
        <f t="shared" si="2"/>
        <v>5728.8</v>
      </c>
      <c r="G34" s="10">
        <v>0.15</v>
      </c>
      <c r="H34" s="9">
        <f t="shared" si="3"/>
        <v>6588.12</v>
      </c>
    </row>
    <row r="35" spans="1:8" s="1" customFormat="1">
      <c r="A35" s="6" t="s">
        <v>23</v>
      </c>
      <c r="B35" s="7" t="s">
        <v>28</v>
      </c>
      <c r="C35" s="8">
        <v>9356</v>
      </c>
      <c r="D35" s="8" t="s">
        <v>29</v>
      </c>
      <c r="E35" s="9">
        <v>2.1</v>
      </c>
      <c r="F35" s="9">
        <f t="shared" si="2"/>
        <v>19647.600000000002</v>
      </c>
      <c r="G35" s="10">
        <v>0.15</v>
      </c>
      <c r="H35" s="9">
        <f t="shared" si="3"/>
        <v>22594.74</v>
      </c>
    </row>
    <row r="36" spans="1:8" s="1" customFormat="1">
      <c r="A36" s="6" t="s">
        <v>32</v>
      </c>
      <c r="B36" s="7" t="s">
        <v>60</v>
      </c>
      <c r="C36" s="8">
        <v>6.39</v>
      </c>
      <c r="D36" s="8" t="s">
        <v>22</v>
      </c>
      <c r="E36" s="9">
        <v>400</v>
      </c>
      <c r="F36" s="9">
        <f t="shared" si="2"/>
        <v>2556</v>
      </c>
      <c r="G36" s="10">
        <v>0.15</v>
      </c>
      <c r="H36" s="9">
        <f t="shared" si="3"/>
        <v>2939.3999999999996</v>
      </c>
    </row>
    <row r="37" spans="1:8" s="1" customFormat="1">
      <c r="A37" s="6" t="s">
        <v>23</v>
      </c>
      <c r="B37" s="7" t="s">
        <v>61</v>
      </c>
      <c r="C37" s="8">
        <v>45</v>
      </c>
      <c r="D37" s="8" t="s">
        <v>58</v>
      </c>
      <c r="E37" s="9">
        <v>101.33</v>
      </c>
      <c r="F37" s="9">
        <f t="shared" si="2"/>
        <v>4559.8500000000004</v>
      </c>
      <c r="G37" s="10">
        <v>0.15</v>
      </c>
      <c r="H37" s="9">
        <f t="shared" si="3"/>
        <v>5243.8275000000003</v>
      </c>
    </row>
    <row r="38" spans="1:8" s="1" customFormat="1">
      <c r="A38" s="6" t="s">
        <v>23</v>
      </c>
      <c r="B38" s="7" t="s">
        <v>62</v>
      </c>
      <c r="C38" s="8">
        <v>5.24</v>
      </c>
      <c r="D38" s="8" t="s">
        <v>63</v>
      </c>
      <c r="E38" s="9">
        <v>1055</v>
      </c>
      <c r="F38" s="9">
        <f t="shared" si="2"/>
        <v>5528.2</v>
      </c>
      <c r="G38" s="10">
        <v>0.15</v>
      </c>
      <c r="H38" s="9">
        <f t="shared" si="3"/>
        <v>6357.4299999999994</v>
      </c>
    </row>
    <row r="39" spans="1:8" s="1" customFormat="1">
      <c r="A39" s="6" t="s">
        <v>23</v>
      </c>
      <c r="B39" s="7" t="s">
        <v>33</v>
      </c>
      <c r="C39" s="8">
        <v>195</v>
      </c>
      <c r="D39" s="8" t="s">
        <v>34</v>
      </c>
      <c r="E39" s="9">
        <v>112.17</v>
      </c>
      <c r="F39" s="9">
        <f t="shared" si="2"/>
        <v>21873.15</v>
      </c>
      <c r="G39" s="10">
        <v>0.15</v>
      </c>
      <c r="H39" s="9">
        <f t="shared" si="3"/>
        <v>25154.122500000001</v>
      </c>
    </row>
    <row r="40" spans="1:8" s="1" customFormat="1">
      <c r="A40" s="11" t="s">
        <v>23</v>
      </c>
      <c r="B40" s="12" t="s">
        <v>35</v>
      </c>
      <c r="C40" s="13">
        <v>195</v>
      </c>
      <c r="D40" s="13" t="s">
        <v>34</v>
      </c>
      <c r="E40" s="14">
        <v>0</v>
      </c>
      <c r="F40" s="14">
        <f t="shared" si="2"/>
        <v>0</v>
      </c>
      <c r="G40" s="15">
        <v>0.15</v>
      </c>
      <c r="H40" s="14">
        <f t="shared" si="3"/>
        <v>0</v>
      </c>
    </row>
    <row r="41" spans="1:8" s="1" customFormat="1">
      <c r="A41" s="6" t="s">
        <v>23</v>
      </c>
      <c r="B41" s="7" t="s">
        <v>64</v>
      </c>
      <c r="C41" s="8">
        <v>28</v>
      </c>
      <c r="D41" s="8" t="s">
        <v>58</v>
      </c>
      <c r="E41" s="9">
        <v>263.33</v>
      </c>
      <c r="F41" s="9">
        <f t="shared" si="2"/>
        <v>7373.24</v>
      </c>
      <c r="G41" s="10">
        <v>0.15</v>
      </c>
      <c r="H41" s="9">
        <f t="shared" si="3"/>
        <v>8479.2259999999987</v>
      </c>
    </row>
    <row r="42" spans="1:8" s="1" customFormat="1">
      <c r="A42" s="6" t="s">
        <v>65</v>
      </c>
      <c r="B42" s="7" t="s">
        <v>66</v>
      </c>
      <c r="C42" s="8">
        <v>8</v>
      </c>
      <c r="D42" s="8" t="s">
        <v>29</v>
      </c>
      <c r="E42" s="9">
        <v>87.2</v>
      </c>
      <c r="F42" s="9">
        <f t="shared" si="2"/>
        <v>697.6</v>
      </c>
      <c r="G42" s="10">
        <v>0.15</v>
      </c>
      <c r="H42" s="9">
        <f t="shared" si="3"/>
        <v>802.24</v>
      </c>
    </row>
    <row r="43" spans="1:8" s="1" customFormat="1">
      <c r="A43" s="6" t="s">
        <v>23</v>
      </c>
      <c r="B43" s="7" t="s">
        <v>67</v>
      </c>
      <c r="C43" s="8">
        <v>10</v>
      </c>
      <c r="D43" s="8" t="s">
        <v>29</v>
      </c>
      <c r="E43" s="9">
        <v>2500</v>
      </c>
      <c r="F43" s="9">
        <f t="shared" si="2"/>
        <v>25000</v>
      </c>
      <c r="G43" s="10">
        <v>0.15</v>
      </c>
      <c r="H43" s="9">
        <f t="shared" si="3"/>
        <v>28749.999999999996</v>
      </c>
    </row>
    <row r="44" spans="1:8" s="1" customFormat="1">
      <c r="A44" s="6" t="s">
        <v>23</v>
      </c>
      <c r="B44" s="7" t="s">
        <v>68</v>
      </c>
      <c r="C44" s="8">
        <v>10</v>
      </c>
      <c r="D44" s="8" t="s">
        <v>29</v>
      </c>
      <c r="E44" s="9">
        <v>1816.67</v>
      </c>
      <c r="F44" s="9">
        <f t="shared" si="2"/>
        <v>18166.7</v>
      </c>
      <c r="G44" s="10">
        <v>0.15</v>
      </c>
      <c r="H44" s="9">
        <f t="shared" si="3"/>
        <v>20891.704999999998</v>
      </c>
    </row>
    <row r="46" spans="1:8" s="1" customFormat="1" ht="15.75">
      <c r="A46" s="35" t="s">
        <v>69</v>
      </c>
      <c r="B46" s="35"/>
      <c r="C46" s="35"/>
      <c r="D46" s="35"/>
      <c r="E46" s="35"/>
      <c r="F46" s="35"/>
      <c r="G46" s="35"/>
      <c r="H46" s="35"/>
    </row>
    <row r="47" spans="1:8" s="1" customFormat="1">
      <c r="A47" s="6" t="s">
        <v>27</v>
      </c>
      <c r="B47" s="7" t="s">
        <v>56</v>
      </c>
      <c r="C47" s="8">
        <v>6450</v>
      </c>
      <c r="D47" s="8" t="s">
        <v>29</v>
      </c>
      <c r="E47" s="9">
        <v>13.36</v>
      </c>
      <c r="F47" s="9">
        <f t="shared" ref="F47:F59" si="4">C47*E47</f>
        <v>86172</v>
      </c>
      <c r="G47" s="10">
        <v>0.15</v>
      </c>
      <c r="H47" s="9">
        <f t="shared" ref="H47:H59" si="5">F47*1.15</f>
        <v>99097.799999999988</v>
      </c>
    </row>
    <row r="48" spans="1:8" s="1" customFormat="1">
      <c r="A48" s="6" t="s">
        <v>23</v>
      </c>
      <c r="B48" s="7" t="s">
        <v>57</v>
      </c>
      <c r="C48" s="8">
        <v>99</v>
      </c>
      <c r="D48" s="8" t="s">
        <v>58</v>
      </c>
      <c r="E48" s="9">
        <v>126</v>
      </c>
      <c r="F48" s="9">
        <f t="shared" si="4"/>
        <v>12474</v>
      </c>
      <c r="G48" s="10">
        <v>0.15</v>
      </c>
      <c r="H48" s="9">
        <f t="shared" si="5"/>
        <v>14345.099999999999</v>
      </c>
    </row>
    <row r="49" spans="1:8" s="1" customFormat="1">
      <c r="A49" s="6" t="s">
        <v>23</v>
      </c>
      <c r="B49" s="7" t="s">
        <v>59</v>
      </c>
      <c r="C49" s="8">
        <v>14.18</v>
      </c>
      <c r="D49" s="8" t="s">
        <v>22</v>
      </c>
      <c r="E49" s="9">
        <v>385</v>
      </c>
      <c r="F49" s="9">
        <f t="shared" si="4"/>
        <v>5459.3</v>
      </c>
      <c r="G49" s="10">
        <v>0.15</v>
      </c>
      <c r="H49" s="9">
        <f t="shared" si="5"/>
        <v>6278.1949999999997</v>
      </c>
    </row>
    <row r="50" spans="1:8" s="1" customFormat="1">
      <c r="A50" s="6" t="s">
        <v>23</v>
      </c>
      <c r="B50" s="7" t="s">
        <v>28</v>
      </c>
      <c r="C50" s="8">
        <v>10915</v>
      </c>
      <c r="D50" s="8" t="s">
        <v>29</v>
      </c>
      <c r="E50" s="9">
        <v>2.1</v>
      </c>
      <c r="F50" s="9">
        <f t="shared" si="4"/>
        <v>22921.5</v>
      </c>
      <c r="G50" s="10">
        <v>0.15</v>
      </c>
      <c r="H50" s="9">
        <f t="shared" si="5"/>
        <v>26359.724999999999</v>
      </c>
    </row>
    <row r="51" spans="1:8" s="1" customFormat="1">
      <c r="A51" s="6" t="s">
        <v>32</v>
      </c>
      <c r="B51" s="7" t="s">
        <v>60</v>
      </c>
      <c r="C51" s="8">
        <v>5.53</v>
      </c>
      <c r="D51" s="8" t="s">
        <v>22</v>
      </c>
      <c r="E51" s="9">
        <v>400</v>
      </c>
      <c r="F51" s="9">
        <f t="shared" si="4"/>
        <v>2212</v>
      </c>
      <c r="G51" s="10">
        <v>0.15</v>
      </c>
      <c r="H51" s="9">
        <f t="shared" si="5"/>
        <v>2543.7999999999997</v>
      </c>
    </row>
    <row r="52" spans="1:8" s="1" customFormat="1">
      <c r="A52" s="6" t="s">
        <v>23</v>
      </c>
      <c r="B52" s="7" t="s">
        <v>61</v>
      </c>
      <c r="C52" s="8">
        <v>39</v>
      </c>
      <c r="D52" s="8" t="s">
        <v>58</v>
      </c>
      <c r="E52" s="9">
        <v>101.33</v>
      </c>
      <c r="F52" s="9">
        <f t="shared" si="4"/>
        <v>3951.87</v>
      </c>
      <c r="G52" s="10">
        <v>0.15</v>
      </c>
      <c r="H52" s="9">
        <f t="shared" si="5"/>
        <v>4544.6504999999997</v>
      </c>
    </row>
    <row r="53" spans="1:8" s="1" customFormat="1">
      <c r="A53" s="6" t="s">
        <v>23</v>
      </c>
      <c r="B53" s="7" t="s">
        <v>62</v>
      </c>
      <c r="C53" s="8">
        <v>5.24</v>
      </c>
      <c r="D53" s="8" t="s">
        <v>63</v>
      </c>
      <c r="E53" s="9">
        <v>1055</v>
      </c>
      <c r="F53" s="9">
        <f t="shared" si="4"/>
        <v>5528.2</v>
      </c>
      <c r="G53" s="10">
        <v>0.15</v>
      </c>
      <c r="H53" s="9">
        <f t="shared" si="5"/>
        <v>6357.4299999999994</v>
      </c>
    </row>
    <row r="54" spans="1:8" s="1" customFormat="1">
      <c r="A54" s="6" t="s">
        <v>23</v>
      </c>
      <c r="B54" s="7" t="s">
        <v>33</v>
      </c>
      <c r="C54" s="8">
        <v>205</v>
      </c>
      <c r="D54" s="8" t="s">
        <v>34</v>
      </c>
      <c r="E54" s="9">
        <v>112.17</v>
      </c>
      <c r="F54" s="9">
        <f t="shared" si="4"/>
        <v>22994.85</v>
      </c>
      <c r="G54" s="10">
        <v>0.15</v>
      </c>
      <c r="H54" s="9">
        <f t="shared" si="5"/>
        <v>26444.077499999996</v>
      </c>
    </row>
    <row r="55" spans="1:8" s="1" customFormat="1">
      <c r="A55" s="11" t="s">
        <v>23</v>
      </c>
      <c r="B55" s="12" t="s">
        <v>35</v>
      </c>
      <c r="C55" s="13">
        <v>205</v>
      </c>
      <c r="D55" s="13" t="s">
        <v>34</v>
      </c>
      <c r="E55" s="14">
        <v>0</v>
      </c>
      <c r="F55" s="14">
        <f t="shared" si="4"/>
        <v>0</v>
      </c>
      <c r="G55" s="15">
        <v>0.15</v>
      </c>
      <c r="H55" s="14">
        <f t="shared" si="5"/>
        <v>0</v>
      </c>
    </row>
    <row r="56" spans="1:8" s="1" customFormat="1">
      <c r="A56" s="6" t="s">
        <v>23</v>
      </c>
      <c r="B56" s="7" t="s">
        <v>64</v>
      </c>
      <c r="C56" s="8">
        <v>33</v>
      </c>
      <c r="D56" s="8" t="s">
        <v>58</v>
      </c>
      <c r="E56" s="9">
        <v>263.33</v>
      </c>
      <c r="F56" s="9">
        <f t="shared" si="4"/>
        <v>8689.89</v>
      </c>
      <c r="G56" s="10">
        <v>0.15</v>
      </c>
      <c r="H56" s="9">
        <f t="shared" si="5"/>
        <v>9993.3734999999979</v>
      </c>
    </row>
    <row r="57" spans="1:8" s="1" customFormat="1">
      <c r="A57" s="6" t="s">
        <v>65</v>
      </c>
      <c r="B57" s="7" t="s">
        <v>66</v>
      </c>
      <c r="C57" s="8">
        <v>5</v>
      </c>
      <c r="D57" s="8" t="s">
        <v>29</v>
      </c>
      <c r="E57" s="9">
        <v>87.2</v>
      </c>
      <c r="F57" s="9">
        <f t="shared" si="4"/>
        <v>436</v>
      </c>
      <c r="G57" s="10">
        <v>0.15</v>
      </c>
      <c r="H57" s="9">
        <f t="shared" si="5"/>
        <v>501.4</v>
      </c>
    </row>
    <row r="58" spans="1:8" s="1" customFormat="1">
      <c r="A58" s="6" t="s">
        <v>23</v>
      </c>
      <c r="B58" s="7" t="s">
        <v>67</v>
      </c>
      <c r="C58" s="8">
        <v>7</v>
      </c>
      <c r="D58" s="8" t="s">
        <v>29</v>
      </c>
      <c r="E58" s="9">
        <v>2500</v>
      </c>
      <c r="F58" s="9">
        <f t="shared" si="4"/>
        <v>17500</v>
      </c>
      <c r="G58" s="10">
        <v>0.15</v>
      </c>
      <c r="H58" s="9">
        <f t="shared" si="5"/>
        <v>20125</v>
      </c>
    </row>
    <row r="59" spans="1:8" s="1" customFormat="1">
      <c r="A59" s="6" t="s">
        <v>23</v>
      </c>
      <c r="B59" s="7" t="s">
        <v>68</v>
      </c>
      <c r="C59" s="8">
        <v>12</v>
      </c>
      <c r="D59" s="8" t="s">
        <v>29</v>
      </c>
      <c r="E59" s="9">
        <v>1816.67</v>
      </c>
      <c r="F59" s="9">
        <f t="shared" si="4"/>
        <v>21800.04</v>
      </c>
      <c r="G59" s="10">
        <v>0.15</v>
      </c>
      <c r="H59" s="9">
        <f t="shared" si="5"/>
        <v>25070.045999999998</v>
      </c>
    </row>
    <row r="62" spans="1:8" s="1" customFormat="1">
      <c r="G62" s="21" t="s">
        <v>70</v>
      </c>
      <c r="H62" s="22">
        <f>SUM(F9:F61)</f>
        <v>609327.86549999996</v>
      </c>
    </row>
    <row r="63" spans="1:8" s="1" customFormat="1">
      <c r="G63" s="21" t="s">
        <v>71</v>
      </c>
      <c r="H63" s="23">
        <f>H62*0.15</f>
        <v>91399.179824999985</v>
      </c>
    </row>
    <row r="64" spans="1:8" s="1" customFormat="1" ht="15.75">
      <c r="G64" s="24" t="s">
        <v>72</v>
      </c>
      <c r="H64" s="25">
        <f>H62+H63</f>
        <v>700727.04532499996</v>
      </c>
    </row>
    <row r="66" spans="1:8" s="1" customFormat="1" ht="26.25">
      <c r="A66" s="26" t="s">
        <v>73</v>
      </c>
      <c r="G66" s="27" t="s">
        <v>74</v>
      </c>
      <c r="H66" s="28">
        <f>H64</f>
        <v>700727.04532499996</v>
      </c>
    </row>
    <row r="67" spans="1:8" s="1" customFormat="1">
      <c r="A67" s="29" t="s">
        <v>75</v>
      </c>
    </row>
    <row r="69" spans="1:8" s="1" customFormat="1">
      <c r="A69" s="30" t="s">
        <v>76</v>
      </c>
    </row>
    <row r="70" spans="1:8" s="1" customFormat="1">
      <c r="A70" s="31" t="s">
        <v>77</v>
      </c>
    </row>
    <row r="71" spans="1:8" s="1" customFormat="1">
      <c r="A71" s="31" t="s">
        <v>78</v>
      </c>
    </row>
    <row r="72" spans="1:8" s="1" customFormat="1">
      <c r="A72" s="31" t="s">
        <v>79</v>
      </c>
    </row>
    <row r="73" spans="1:8" s="1" customFormat="1">
      <c r="A73" s="31" t="s">
        <v>80</v>
      </c>
    </row>
    <row r="78" spans="1:8" s="1" customFormat="1">
      <c r="A78" s="21" t="s">
        <v>81</v>
      </c>
    </row>
    <row r="79" spans="1:8" s="1" customFormat="1">
      <c r="A79" s="32" t="s">
        <v>82</v>
      </c>
      <c r="B79" s="1" t="s">
        <v>83</v>
      </c>
    </row>
    <row r="80" spans="1:8" s="1" customFormat="1">
      <c r="A80" s="33" t="s">
        <v>84</v>
      </c>
      <c r="B80" s="1" t="s">
        <v>85</v>
      </c>
    </row>
    <row r="81" spans="1:8" s="1" customFormat="1">
      <c r="A81" s="34" t="s">
        <v>86</v>
      </c>
      <c r="B81" s="1" t="s">
        <v>87</v>
      </c>
    </row>
    <row r="84" spans="1:8" s="1" customFormat="1" ht="21">
      <c r="A84" s="36" t="s">
        <v>88</v>
      </c>
      <c r="B84" s="36"/>
      <c r="C84" s="36"/>
      <c r="D84" s="36"/>
      <c r="E84" s="36"/>
      <c r="F84" s="36"/>
      <c r="G84" s="36"/>
      <c r="H84" s="36"/>
    </row>
  </sheetData>
  <mergeCells count="4">
    <mergeCell ref="A9:H9"/>
    <mergeCell ref="A31:H31"/>
    <mergeCell ref="A46:H46"/>
    <mergeCell ref="A84:H84"/>
  </mergeCells>
  <hyperlinks>
    <hyperlink ref="B5" r:id="rId1" xr:uid="{A06B719B-A239-4FE3-8ECA-63DFC94B8B1E}"/>
  </hyperlinks>
  <pageMargins left="0.7" right="0.7" top="0.75" bottom="0.75" header="0.3" footer="0.3"/>
  <pageSetup orientation="portrait" horizontalDpi="4294967295" verticalDpi="429496729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Formal Quotation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2026-05-02T08:56:44Z</dcterms:created>
  <dcterms:modified xsi:type="dcterms:W3CDTF">2026-05-10T17:47:03Z</dcterms:modified>
  <cp:category/>
</cp:coreProperties>
</file>